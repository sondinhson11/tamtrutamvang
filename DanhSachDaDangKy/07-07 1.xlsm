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0" yWindow="0" windowWidth="23040" windowHeight="9192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92" i="2" l="1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<sst xmlns="http://schemas.openxmlformats.org/spreadsheetml/2006/main" count="38293" uniqueCount="22313">
  <si>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</si>
  <si>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</si>
  <si>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</si>
  <si>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</si>
  <si>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</si>
  <si>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</si>
  <si>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</si>
  <si>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</si>
  <si>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</si>
  <si>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</si>
  <si>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</si>
  <si>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</si>
  <si>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</si>
  <si>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</si>
  <si>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</si>
  <si>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</si>
  <si>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</si>
  <si>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</si>
  <si>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</si>
  <si>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</si>
  <si>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</si>
  <si>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</si>
  <si>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</si>
  <si>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</si>
  <si>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</si>
  <si>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</si>
  <si>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</si>
  <si>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</si>
  <si>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</si>
  <si>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</si>
  <si>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</si>
  <si>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</si>
  <si>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</si>
  <si>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</si>
  <si>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</si>
  <si>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</si>
  <si>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</si>
  <si>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</si>
  <si>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</si>
  <si>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</si>
  <si>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</si>
  <si>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</si>
  <si>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</si>
  <si>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</si>
  <si>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</si>
  <si>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</si>
  <si>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</si>
  <si>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</si>
  <si>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</si>
  <si>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</si>
  <si>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</si>
  <si>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</si>
  <si>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</si>
  <si>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</si>
  <si>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</si>
  <si>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</si>
  <si>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</si>
  <si>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</si>
  <si>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</si>
  <si>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</si>
  <si>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</si>
  <si>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</si>
  <si>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</si>
  <si>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</si>
  <si>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</si>
  <si>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</si>
  <si>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</si>
  <si>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</si>
  <si>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</si>
  <si>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</si>
  <si>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</si>
  <si>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</si>
  <si>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</si>
  <si>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</si>
  <si>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</si>
  <si>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</si>
  <si>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</si>
  <si>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</si>
  <si>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</si>
  <si>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</si>
  <si>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</si>
  <si>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</si>
  <si>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</si>
  <si>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</si>
  <si>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</si>
  <si>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</si>
  <si>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</si>
  <si>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</si>
  <si>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</si>
  <si>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</si>
  <si>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</si>
  <si>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</si>
  <si>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</si>
  <si>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</si>
  <si>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</si>
  <si>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</si>
  <si>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</si>
  <si>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</si>
  <si>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</si>
  <si>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</si>
  <si>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</si>
  <si>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</si>
  <si>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</si>
  <si>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</si>
  <si>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</si>
  <si>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</si>
  <si>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</si>
  <si>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</si>
  <si>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</si>
  <si>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</si>
  <si>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</si>
  <si>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</si>
  <si>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</si>
  <si>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</si>
  <si>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</si>
  <si>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</si>
  <si>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</si>
  <si>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</si>
  <si>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</si>
  <si>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</si>
  <si>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</si>
  <si>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</si>
  <si>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</si>
  <si>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</si>
  <si>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</si>
  <si>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</si>
  <si>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</si>
  <si>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</si>
  <si>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</si>
  <si>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</si>
  <si>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</si>
  <si>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</si>
  <si>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</si>
  <si>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</si>
  <si>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</si>
  <si>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</si>
  <si>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</si>
  <si>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</si>
  <si>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</si>
  <si>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</si>
  <si>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</si>
  <si>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</si>
  <si>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</si>
  <si>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</si>
  <si>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</si>
  <si>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</si>
  <si>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</si>
  <si>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</si>
  <si>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</si>
  <si>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</si>
  <si>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</si>
  <si>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</si>
  <si>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</si>
  <si>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</si>
  <si>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</si>
  <si>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</si>
  <si>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</si>
  <si>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</si>
  <si>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</si>
  <si>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</si>
  <si>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</si>
  <si>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</si>
  <si>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</si>
  <si>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</si>
  <si>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</si>
  <si>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</si>
  <si>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</si>
  <si>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</si>
  <si>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</si>
  <si>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</si>
  <si>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</si>
  <si>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</si>
  <si>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</si>
  <si>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</si>
  <si>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</si>
  <si>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</si>
  <si>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</si>
  <si>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</si>
  <si>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</si>
  <si>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</si>
  <si>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</si>
  <si>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</si>
  <si>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</si>
  <si>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</si>
  <si>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</si>
  <si>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</si>
  <si>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</si>
  <si>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</si>
  <si>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</si>
  <si>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</si>
  <si>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</si>
  <si>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</si>
  <si>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</si>
  <si>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</si>
  <si>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</si>
  <si>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</si>
  <si>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</si>
  <si>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</si>
  <si>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</si>
  <si>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</si>
  <si>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</si>
  <si>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</si>
  <si>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</si>
  <si>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</si>
  <si>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</si>
  <si>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</si>
  <si>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</si>
  <si>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</si>
  <si>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</si>
  <si>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</si>
  <si>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</si>
  <si>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</si>
  <si>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</si>
  <si>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</si>
  <si>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</si>
  <si>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</si>
  <si>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</si>
  <si>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</si>
  <si>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</si>
  <si>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</si>
  <si>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</si>
  <si>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</si>
  <si>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</si>
  <si>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</si>
  <si>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</si>
  <si>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</si>
  <si>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</si>
  <si>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</si>
  <si>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</si>
  <si>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</si>
  <si>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</si>
  <si>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</si>
  <si>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</si>
  <si>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</si>
  <si>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</si>
  <si>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</si>
  <si>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</si>
  <si>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</si>
  <si>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</si>
  <si>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</si>
  <si>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</si>
  <si>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</si>
  <si>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</si>
  <si>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</si>
  <si>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</si>
  <si>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</si>
  <si>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</si>
  <si>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</si>
  <si>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</si>
  <si>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</si>
  <si>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</si>
  <si>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</si>
  <si>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</si>
  <si>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</si>
  <si>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</si>
  <si>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</si>
  <si>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</si>
  <si>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</si>
  <si>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</si>
  <si>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</si>
  <si>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</si>
  <si>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</si>
  <si>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</si>
  <si>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</si>
  <si>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</si>
  <si>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</si>
  <si>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</si>
  <si>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</si>
  <si>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</si>
  <si>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</si>
  <si>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</si>
  <si>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</si>
  <si>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</si>
  <si>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</si>
  <si>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</si>
  <si>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</si>
  <si>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</si>
  <si>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</si>
  <si>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</si>
  <si>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</si>
  <si>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</si>
  <si>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</si>
  <si>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</si>
  <si>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</si>
  <si>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</si>
  <si>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</si>
  <si>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</si>
  <si>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</si>
  <si>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</si>
  <si>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</si>
  <si>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</si>
  <si>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</si>
  <si>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</si>
  <si>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</si>
  <si>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</si>
  <si>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</si>
  <si>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</si>
  <si>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</si>
  <si>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</si>
  <si>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</si>
  <si>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</si>
  <si>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</si>
  <si>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</si>
  <si>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</si>
  <si>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</si>
  <si>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</si>
  <si>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</si>
  <si>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</si>
  <si>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</si>
  <si>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</si>
  <si>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</si>
  <si>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</si>
  <si>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</si>
  <si>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</si>
  <si>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</si>
  <si>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</si>
  <si>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</si>
  <si>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</si>
  <si>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</si>
  <si>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</si>
  <si>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</si>
  <si>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</si>
  <si>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</si>
  <si>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</si>
  <si>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</si>
  <si>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</si>
  <si>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</si>
  <si>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</si>
  <si>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</si>
  <si>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</si>
  <si>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</si>
  <si>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</si>
  <si>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</si>
  <si>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</si>
  <si>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</si>
  <si>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</si>
  <si>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</si>
  <si>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</si>
  <si>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</si>
  <si>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</si>
  <si>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</si>
  <si>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</si>
  <si>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</si>
  <si>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</si>
  <si>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</si>
  <si>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</si>
  <si>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</si>
  <si>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</si>
  <si>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</si>
  <si>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</si>
  <si>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</si>
  <si>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</si>
  <si>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</si>
  <si>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</si>
  <si>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</si>
  <si>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</si>
  <si>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</si>
  <si>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</si>
  <si>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</si>
  <si>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</si>
  <si>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</si>
  <si>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</si>
  <si>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</si>
  <si>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</si>
  <si>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</si>
  <si>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</si>
  <si>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</si>
  <si>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</si>
  <si>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</si>
  <si>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</si>
  <si>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</si>
  <si>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</si>
  <si>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</si>
  <si>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</si>
  <si>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</si>
  <si>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</si>
  <si>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</si>
  <si>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</si>
  <si>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</si>
  <si>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</si>
  <si>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</si>
  <si>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</si>
  <si>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</si>
  <si>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</si>
  <si>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</si>
  <si>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</si>
  <si>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</si>
  <si>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</si>
  <si>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</si>
  <si>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</si>
  <si>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</si>
  <si>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</si>
  <si>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</si>
  <si>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</si>
  <si>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</si>
  <si>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</si>
  <si>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</si>
  <si>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</si>
  <si>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</si>
  <si>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</si>
  <si>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</si>
  <si>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</si>
  <si>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</si>
  <si>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</si>
  <si>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</si>
  <si>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</si>
  <si>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</si>
  <si>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</si>
  <si>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</si>
  <si>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</si>
  <si>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</si>
  <si>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</si>
  <si>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</si>
  <si>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</si>
  <si>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</si>
  <si>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</si>
  <si>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</si>
  <si>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</si>
  <si>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</si>
  <si>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</si>
  <si>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</si>
  <si>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</si>
  <si>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</si>
  <si>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</si>
  <si>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</si>
  <si>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</si>
  <si>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</si>
  <si>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</si>
  <si>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</si>
  <si>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</si>
  <si>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</si>
  <si>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</si>
  <si>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</si>
  <si>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</si>
  <si>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</si>
  <si>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</si>
  <si>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</si>
  <si>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</si>
  <si>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</si>
  <si>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</si>
  <si>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</si>
  <si>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</si>
  <si>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</si>
  <si>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</si>
  <si>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</si>
  <si>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</si>
  <si>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</si>
  <si>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</si>
  <si>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</si>
  <si>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</si>
  <si>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</si>
  <si>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</si>
  <si>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</si>
  <si>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</si>
  <si>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</si>
  <si>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</si>
  <si>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</si>
  <si>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</si>
  <si>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</si>
  <si>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</si>
  <si>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</si>
  <si>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</si>
  <si>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</si>
  <si>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</si>
  <si>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</si>
  <si>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</si>
  <si>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</si>
  <si>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</si>
  <si>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</si>
  <si>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</si>
  <si>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</si>
  <si>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</si>
  <si>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</si>
  <si>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</si>
  <si>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</si>
  <si>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</si>
  <si>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</si>
  <si>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</si>
  <si>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</si>
  <si>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</si>
  <si>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</si>
  <si>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</si>
  <si>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</si>
  <si>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</si>
  <si>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</si>
  <si>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</si>
  <si>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</si>
  <si>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</si>
  <si>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</si>
  <si>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</si>
  <si>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</si>
  <si>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</si>
  <si>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</si>
  <si>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</si>
  <si>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</si>
  <si>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</si>
  <si>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</si>
  <si>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</si>
  <si>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</si>
  <si>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</si>
  <si>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</si>
  <si>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</si>
  <si>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</si>
  <si>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</si>
  <si>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</si>
  <si>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</si>
  <si>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</si>
  <si>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</si>
  <si>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</si>
  <si>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</si>
  <si>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</si>
  <si>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</si>
  <si>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</si>
  <si>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</si>
  <si>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</si>
  <si>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</si>
  <si>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</si>
  <si>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</si>
  <si>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</si>
  <si>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</si>
  <si>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</si>
  <si>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</si>
  <si>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</si>
  <si>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</si>
  <si>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</si>
  <si>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</si>
  <si>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</si>
  <si>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</si>
  <si>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</si>
  <si>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</si>
  <si>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</si>
  <si>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</si>
  <si>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</si>
  <si>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</si>
  <si>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</si>
  <si>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</si>
  <si>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</si>
  <si>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</si>
  <si>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</si>
  <si>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</si>
  <si>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</si>
  <si>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</si>
  <si>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</si>
  <si>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</si>
  <si>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</si>
  <si>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</si>
  <si>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</si>
  <si>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</si>
  <si>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</si>
  <si>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</si>
  <si>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</si>
  <si>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</si>
  <si>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</si>
  <si>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</si>
  <si>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</si>
  <si>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</si>
  <si>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</si>
  <si>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</si>
  <si>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</si>
  <si>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</si>
  <si>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</si>
  <si>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</si>
  <si>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</si>
  <si>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</si>
  <si>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</si>
  <si>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</si>
  <si>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</si>
  <si>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</si>
  <si>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</si>
  <si>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</si>
  <si>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</si>
  <si>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</si>
  <si>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</si>
  <si>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</si>
  <si>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</si>
  <si>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</si>
  <si>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</si>
  <si>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</si>
  <si>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</si>
  <si>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</si>
  <si>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</si>
  <si>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</si>
  <si>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</si>
  <si>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</si>
  <si>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</si>
  <si>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</si>
  <si>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</si>
  <si>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</si>
  <si>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</si>
  <si>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</si>
  <si>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</si>
  <si>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</si>
  <si>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</si>
  <si>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</si>
  <si>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</si>
  <si>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</si>
  <si>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</si>
  <si>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</si>
  <si>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</si>
  <si>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</si>
  <si>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</si>
  <si>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</si>
  <si>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</si>
  <si>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</si>
  <si>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</si>
  <si>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</si>
  <si>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</si>
  <si>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</si>
  <si>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</si>
  <si>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</si>
  <si>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</si>
  <si>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</si>
  <si>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</si>
  <si>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</si>
  <si>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</si>
  <si>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</si>
  <si>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</si>
  <si>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</si>
  <si>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</si>
  <si>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</si>
  <si>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</si>
  <si>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</si>
  <si>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</si>
  <si>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</si>
  <si>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</si>
  <si>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</si>
  <si>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</si>
  <si>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</si>
  <si>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</si>
  <si>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</si>
  <si>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</si>
  <si>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</si>
  <si>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</si>
  <si>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</si>
  <si>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</si>
  <si>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</si>
  <si>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</si>
  <si>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</si>
  <si>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</si>
  <si>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</si>
  <si>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</si>
  <si>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</si>
  <si>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</si>
  <si>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</si>
  <si>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</si>
  <si>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</si>
  <si>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</si>
  <si>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</si>
  <si>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</si>
  <si>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</si>
  <si>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</si>
  <si>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</si>
  <si>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</si>
  <si>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</si>
  <si>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</si>
  <si>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</si>
  <si>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</si>
  <si>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</si>
  <si>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</si>
  <si>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</si>
  <si>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</si>
  <si>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</si>
  <si>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</si>
  <si>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</si>
  <si>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</si>
  <si>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</si>
  <si>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</si>
  <si>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</si>
  <si>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</si>
  <si>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</si>
  <si>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</si>
  <si>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</si>
  <si>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</si>
  <si>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</si>
  <si>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</si>
  <si>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</si>
  <si>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</si>
  <si>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</si>
  <si>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</si>
  <si>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</si>
  <si>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</si>
  <si>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</si>
  <si>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</si>
  <si>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</si>
  <si>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</si>
  <si>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</si>
  <si>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</si>
  <si>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</si>
  <si>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</si>
  <si>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</si>
  <si>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</si>
  <si>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</si>
  <si>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</si>
  <si>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</si>
  <si>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</si>
  <si>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</si>
  <si>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</si>
  <si>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</si>
  <si>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</si>
  <si>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</si>
  <si>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</si>
  <si>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</si>
  <si>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</si>
  <si>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</si>
  <si>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</si>
  <si>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</si>
  <si>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</si>
  <si>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</si>
  <si>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</si>
  <si>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</si>
  <si>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</si>
  <si>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</si>
  <si>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</si>
  <si>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</si>
  <si>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</si>
  <si>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</si>
  <si>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</si>
  <si>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</si>
  <si>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</si>
  <si>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</si>
  <si>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</si>
  <si>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</si>
  <si>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</si>
  <si>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</si>
  <si>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</si>
  <si>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</si>
  <si>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</si>
  <si>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</si>
  <si>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</si>
  <si>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</si>
  <si>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</si>
  <si>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</si>
  <si>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</si>
  <si>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</si>
  <si>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</si>
  <si>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</si>
  <si>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</si>
  <si>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</si>
  <si>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</si>
  <si>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</si>
  <si>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</si>
  <si>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</si>
  <si>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</si>
  <si>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</si>
  <si>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</si>
  <si>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</si>
  <si>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</si>
  <si>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</si>
  <si>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</si>
  <si>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</si>
  <si>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</si>
  <si>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</si>
  <si>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</si>
  <si>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</si>
  <si>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</si>
  <si>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</si>
  <si>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</si>
  <si>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</si>
  <si>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</si>
  <si>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</si>
  <si>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</si>
  <si>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</si>
  <si>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</si>
  <si>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</si>
  <si>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</si>
  <si>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</si>
  <si>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</si>
  <si>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</si>
  <si>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</si>
  <si>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</si>
  <si>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</si>
  <si>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</si>
  <si>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</si>
  <si>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</si>
  <si>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</si>
  <si>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</si>
  <si>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</si>
  <si>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</si>
  <si>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</si>
  <si>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</si>
  <si>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</si>
  <si>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</si>
  <si>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</si>
  <si>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</si>
  <si>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</si>
  <si>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</si>
  <si>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</si>
  <si>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</si>
  <si>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</si>
  <si>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</si>
  <si>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</si>
  <si>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</si>
  <si>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</si>
  <si>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</si>
  <si>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</si>
  <si>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</si>
  <si>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</si>
  <si>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</si>
  <si>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</si>
  <si>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</si>
  <si>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</si>
  <si>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</si>
  <si>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</si>
  <si>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</si>
  <si>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</si>
  <si>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</si>
  <si>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</si>
  <si>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</si>
  <si>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</si>
  <si>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</si>
  <si>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</si>
  <si>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</si>
  <si>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</si>
  <si>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</si>
  <si>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</si>
  <si>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</si>
  <si>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</si>
  <si>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</si>
  <si>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</si>
  <si>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</si>
  <si>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</si>
  <si>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</si>
  <si>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</si>
  <si>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</si>
  <si>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</si>
  <si>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</si>
  <si>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</si>
  <si>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</si>
  <si>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</si>
  <si>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</si>
  <si>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</si>
  <si>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</si>
  <si>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</si>
  <si>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</si>
  <si>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</si>
  <si>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</si>
  <si>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</si>
  <si>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</si>
  <si>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</si>
  <si>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</si>
  <si>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</si>
  <si>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</si>
  <si>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</si>
  <si>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</si>
  <si>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</si>
  <si>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</si>
  <si>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</si>
  <si>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</si>
  <si>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</si>
  <si>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</si>
  <si>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</si>
  <si>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</si>
  <si>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</si>
  <si>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</si>
  <si>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</si>
  <si>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</si>
  <si>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</si>
  <si>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</si>
  <si>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</si>
  <si>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</si>
  <si>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</si>
  <si>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</si>
  <si>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</si>
  <si>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</si>
  <si>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</si>
  <si>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</si>
  <si>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</si>
  <si>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</si>
  <si>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</si>
  <si>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</si>
  <si>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</si>
  <si>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</si>
  <si>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</si>
  <si>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</si>
  <si>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</si>
  <si>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</si>
  <si>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</si>
  <si>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</si>
  <si>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</si>
  <si>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</si>
  <si>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</si>
  <si>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</si>
  <si>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</si>
  <si>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</si>
  <si>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</si>
  <si>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</si>
  <si>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</si>
  <si>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</si>
  <si>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</si>
  <si>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</si>
  <si>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</si>
  <si>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</si>
  <si>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</si>
  <si>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</si>
  <si>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</si>
  <si>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</si>
  <si>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</si>
  <si>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</si>
  <si>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</si>
  <si>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</si>
  <si>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</si>
  <si>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</si>
  <si>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</si>
  <si>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</si>
  <si>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</si>
  <si>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</si>
  <si>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</si>
  <si>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</si>
  <si>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</si>
  <si>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</si>
  <si>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</si>
  <si>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</si>
  <si>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</si>
  <si>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</si>
  <si>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</si>
  <si>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</si>
  <si>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</si>
  <si>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</si>
  <si>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</si>
  <si>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</si>
  <si>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</si>
  <si>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</si>
  <si>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</si>
  <si>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</si>
  <si>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</si>
  <si>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</si>
  <si>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</si>
  <si>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</si>
  <si>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</si>
  <si>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</si>
  <si>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</si>
  <si>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</si>
  <si>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</si>
  <si>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</si>
  <si>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</si>
  <si>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</si>
  <si>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</si>
  <si>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</si>
  <si>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</si>
  <si>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</si>
  <si>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</si>
  <si>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</si>
  <si>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</si>
  <si>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</si>
  <si>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</si>
  <si>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</si>
  <si>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</si>
  <si>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</si>
  <si>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</si>
  <si>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</si>
  <si>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</si>
  <si>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</si>
  <si>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</si>
  <si>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</si>
  <si>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</si>
  <si>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</si>
  <si>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</si>
  <si>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</si>
  <si>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</si>
  <si>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</si>
  <si>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</si>
  <si>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</si>
  <si>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</si>
  <si>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</si>
  <si>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</si>
  <si>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</si>
  <si>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</si>
  <si>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</si>
  <si>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</si>
  <si>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</si>
  <si>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</si>
  <si>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</si>
  <si>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</si>
  <si>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</si>
  <si>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</si>
  <si>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</si>
  <si>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</si>
  <si>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</si>
  <si>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</si>
  <si>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</si>
  <si>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</si>
  <si>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</si>
  <si>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</si>
  <si>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</si>
  <si>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</si>
  <si>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</si>
  <si>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</si>
  <si>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</si>
  <si>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</si>
  <si>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</si>
  <si>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</si>
  <si>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</si>
  <si>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</si>
  <si>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</si>
  <si>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</si>
  <si>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</si>
  <si>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</si>
  <si>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</si>
  <si>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</si>
  <si>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</si>
  <si>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</si>
  <si>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</si>
  <si>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</si>
  <si>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</si>
  <si>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</si>
  <si>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</si>
  <si>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</si>
  <si>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</si>
  <si>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</si>
  <si>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</si>
  <si>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</si>
  <si>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</si>
  <si>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</si>
  <si>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</si>
  <si>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</si>
  <si>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</si>
  <si>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</si>
  <si>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</si>
  <si>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</si>
  <si>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</si>
  <si>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</si>
  <si>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</si>
  <si>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</si>
  <si>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</si>
  <si>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</si>
  <si>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</si>
  <si>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</si>
  <si>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</si>
  <si>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</si>
  <si>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</si>
  <si>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</si>
  <si>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</si>
  <si>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</si>
  <si>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</si>
  <si>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</si>
  <si>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</si>
  <si>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</si>
  <si>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</si>
  <si>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</si>
  <si>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</si>
  <si>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</si>
  <si>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</si>
  <si>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</si>
  <si>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</si>
  <si>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</si>
  <si>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</si>
  <si>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</si>
  <si>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</si>
  <si>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</si>
  <si>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</si>
  <si>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</si>
  <si>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</si>
  <si>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</si>
  <si>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</si>
  <si>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</si>
  <si>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</si>
  <si>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</si>
  <si>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</si>
  <si>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</si>
  <si>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</si>
  <si>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</si>
  <si>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</si>
  <si>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</si>
  <si>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</si>
  <si>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</si>
  <si>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</si>
  <si>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</si>
  <si>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</si>
  <si>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</si>
  <si>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</si>
  <si>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</si>
  <si>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</si>
  <si>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</si>
  <si>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</si>
  <si>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</si>
  <si>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</si>
  <si>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</si>
  <si>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</si>
  <si>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</si>
  <si>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</si>
  <si>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</si>
  <si>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</si>
  <si>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</si>
  <si>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</si>
  <si>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</si>
  <si>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</si>
  <si>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</si>
  <si>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</si>
  <si>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</si>
  <si>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</si>
  <si>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</si>
  <si>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</si>
  <si>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</si>
  <si>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</si>
  <si>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</si>
  <si>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</si>
  <si>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</si>
  <si>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</si>
  <si>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</si>
  <si>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</si>
  <si>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</si>
  <si>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</si>
  <si>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</si>
  <si>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</si>
  <si>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</si>
  <si>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</si>
  <si>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</si>
  <si>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</si>
  <si>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</si>
  <si>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</si>
  <si>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</si>
  <si>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</si>
  <si>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</si>
  <si>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</si>
  <si>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</si>
  <si>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</si>
  <si>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</si>
  <si>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</si>
  <si>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</si>
  <si>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</si>
  <si>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</si>
  <si>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</si>
  <si>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</si>
  <si>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</si>
  <si>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</si>
  <si>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</si>
  <si>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</si>
  <si>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</si>
  <si>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</si>
  <si>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</si>
  <si>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</si>
  <si>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</si>
  <si>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</si>
  <si>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</si>
  <si>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</si>
  <si>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</si>
  <si>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</si>
  <si>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</si>
  <si>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</si>
  <si>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</si>
  <si>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</si>
  <si>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</si>
  <si>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</si>
  <si>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</si>
  <si>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</si>
  <si>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</si>
  <si>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</si>
  <si>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</si>
  <si>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</si>
  <si>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</si>
  <si>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</si>
  <si>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</si>
  <si>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</si>
  <si>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</si>
  <si>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</si>
  <si>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</si>
  <si>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</si>
  <si>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</si>
  <si>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</si>
  <si>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</si>
  <si>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</si>
  <si>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</si>
  <si>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</si>
  <si>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</si>
  <si>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</si>
  <si>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</si>
  <si>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</si>
  <si>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</si>
  <si>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</si>
  <si>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</si>
  <si>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</si>
  <si>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</si>
  <si>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</si>
  <si>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</si>
  <si>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</si>
  <si>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</si>
  <si>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</si>
  <si>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</si>
  <si>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</si>
  <si>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</si>
  <si>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</si>
  <si>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</si>
  <si>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</si>
  <si>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</si>
  <si>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</si>
  <si>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</si>
  <si>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</si>
  <si>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</si>
  <si>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</si>
  <si>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</si>
  <si>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</si>
  <si>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</si>
  <si>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</si>
  <si>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</si>
  <si>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</si>
  <si>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</si>
  <si>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</si>
  <si>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</si>
  <si>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</si>
  <si>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</si>
  <si>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</si>
  <si>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</si>
  <si>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</si>
  <si>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</si>
  <si>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</si>
  <si>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</si>
  <si>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</si>
  <si>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</si>
  <si>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</si>
  <si>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</si>
  <si>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</si>
  <si>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</si>
  <si>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</si>
  <si>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</si>
  <si>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</si>
  <si>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</si>
  <si>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</si>
  <si>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</si>
  <si>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</si>
  <si>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</si>
  <si>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</si>
  <si>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</si>
  <si>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</si>
  <si>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</si>
  <si>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</si>
  <si>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</si>
  <si>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</si>
  <si>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</si>
  <si>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</si>
  <si>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</si>
  <si>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</si>
  <si>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</si>
  <si>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</si>
  <si>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</si>
  <si>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</si>
  <si>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</si>
  <si>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</si>
  <si>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</si>
  <si>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</si>
  <si>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</si>
  <si>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</si>
  <si>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</si>
  <si>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</si>
  <si>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</si>
  <si>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</si>
  <si>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</si>
  <si>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</si>
  <si>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</si>
  <si>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</si>
  <si>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</si>
  <si>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</si>
  <si>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</si>
  <si>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</si>
  <si>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</si>
  <si>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</si>
  <si>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</si>
  <si>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</si>
  <si>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</si>
  <si>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</si>
  <si>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</si>
  <si>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</si>
  <si>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</si>
  <si>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</si>
  <si>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</si>
  <si>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</si>
  <si>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</si>
  <si>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</si>
  <si>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</si>
  <si>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</si>
  <si>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</si>
  <si>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</si>
  <si>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</si>
  <si>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</si>
  <si>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</si>
  <si>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</si>
  <si>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</si>
  <si>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</si>
  <si>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</si>
  <si>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</si>
  <si>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</si>
  <si>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</si>
  <si>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</si>
  <si>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</si>
  <si>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</si>
  <si>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</si>
  <si>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</si>
  <si>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</si>
  <si>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</si>
  <si>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</si>
  <si>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</si>
  <si>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</si>
  <si>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</si>
  <si>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</si>
  <si>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</si>
  <si>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</si>
  <si>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</si>
  <si>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</si>
  <si>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</si>
  <si>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</si>
  <si>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</si>
  <si>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</si>
  <si>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</si>
  <si>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</si>
  <si>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</si>
  <si>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</si>
  <si>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</si>
  <si>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</si>
  <si>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</si>
  <si>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</si>
  <si>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</si>
  <si>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</si>
  <si>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</si>
  <si>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</si>
  <si>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</si>
  <si>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</si>
  <si>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</si>
  <si>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</si>
  <si>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</si>
  <si>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</si>
  <si>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</si>
  <si>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</si>
  <si>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</si>
  <si>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</si>
  <si>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</si>
  <si>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</si>
  <si>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</si>
  <si>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</si>
  <si>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</si>
  <si>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</si>
  <si>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</si>
  <si>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</si>
  <si>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</si>
  <si>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</si>
  <si>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</si>
  <si>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</si>
  <si>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</si>
  <si>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</si>
  <si>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</si>
  <si>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</si>
  <si>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</si>
  <si>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</si>
  <si>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</si>
  <si>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</si>
  <si>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</si>
  <si>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</si>
  <si>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</si>
  <si>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</si>
  <si>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</si>
  <si>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</si>
  <si>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</si>
  <si>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</si>
  <si>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</si>
  <si>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</si>
  <si>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</si>
  <si>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</si>
  <si>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</si>
  <si>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</si>
  <si>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</si>
  <si>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</si>
  <si>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</si>
  <si>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</si>
  <si>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</si>
  <si>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</si>
  <si>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</si>
  <si>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</si>
  <si>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</si>
  <si>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</si>
  <si>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</si>
  <si>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</si>
  <si>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</si>
  <si>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</si>
  <si>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</si>
  <si>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</si>
  <si>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</si>
  <si>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</si>
  <si>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</si>
  <si>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</si>
  <si>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</si>
  <si>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</si>
  <si>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</si>
  <si>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</si>
  <si>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</si>
  <si>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</si>
  <si>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</si>
  <si>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</si>
  <si>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</si>
  <si>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</si>
  <si>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</si>
  <si>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</si>
  <si>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</si>
  <si>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</si>
  <si>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</si>
  <si>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</si>
  <si>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</si>
  <si>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</si>
  <si>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</si>
  <si>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</si>
  <si>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</si>
  <si>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</si>
  <si>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</si>
  <si>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</si>
  <si>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</si>
  <si>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</si>
  <si>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</si>
  <si>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</si>
  <si>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</si>
  <si>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</si>
  <si>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</si>
  <si>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</si>
  <si>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</si>
  <si>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</si>
  <si>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</si>
  <si>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</si>
  <si>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</si>
  <si>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</si>
  <si>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</si>
  <si>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</si>
  <si>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</si>
  <si>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</si>
  <si>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</si>
  <si>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</si>
  <si>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</si>
  <si>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</si>
  <si>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</si>
  <si>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</si>
  <si>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</si>
  <si>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</si>
  <si>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</si>
  <si>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</si>
  <si>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</si>
  <si>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</si>
  <si>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</si>
  <si>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</si>
  <si>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</si>
  <si>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</si>
  <si>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</si>
  <si>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</si>
  <si>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</si>
  <si>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</si>
  <si>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</si>
  <si>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</si>
  <si>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</si>
  <si>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</si>
  <si>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</si>
  <si>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</si>
  <si>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</si>
  <si>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</si>
  <si>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</si>
  <si>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</si>
  <si>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</si>
  <si>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</si>
  <si>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</si>
  <si>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</si>
  <si>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</si>
  <si>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</si>
  <si>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</si>
  <si>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</si>
  <si>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</si>
  <si>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</si>
  <si>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</si>
  <si>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</si>
  <si>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</si>
  <si>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</si>
  <si>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</si>
  <si>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</si>
  <si>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</si>
  <si>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</si>
  <si>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</si>
  <si>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</si>
  <si>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</si>
  <si>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</si>
  <si>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</si>
  <si>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</si>
  <si>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</si>
  <si>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</si>
  <si>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</si>
  <si>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</si>
  <si>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</si>
  <si>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</si>
  <si>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</si>
  <si>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</si>
  <si>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</si>
  <si>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</si>
  <si>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</si>
  <si>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</si>
  <si>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</si>
  <si>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</si>
  <si>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</si>
  <si>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</si>
  <si>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</si>
  <si>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</si>
  <si>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</si>
  <si>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</si>
  <si>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</si>
  <si>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</si>
  <si>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</si>
  <si>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</si>
  <si>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</si>
  <si>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</si>
  <si>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</si>
  <si>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</si>
  <si>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</si>
  <si>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</si>
  <si>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</si>
  <si>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</si>
  <si>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</si>
  <si>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</si>
  <si>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</si>
  <si>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</si>
  <si>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</si>
  <si>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</si>
  <si>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</si>
  <si>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</si>
  <si>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</si>
  <si>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</si>
  <si>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</si>
  <si>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</si>
  <si>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</si>
  <si>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</si>
  <si>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</si>
  <si>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</si>
  <si>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</si>
  <si>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</si>
  <si>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</si>
  <si>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</si>
  <si>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</si>
  <si>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</si>
  <si>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</si>
  <si>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</si>
  <si>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</si>
  <si>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</si>
  <si>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</si>
  <si>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</si>
  <si>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</si>
  <si>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</si>
  <si>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</si>
  <si>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</si>
  <si>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</si>
  <si>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</si>
  <si>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</si>
  <si>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</si>
  <si>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</si>
  <si>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</si>
  <si>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</si>
  <si>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</si>
  <si>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</si>
  <si>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</si>
  <si>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</si>
  <si>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</si>
  <si>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</si>
  <si>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</si>
  <si>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</si>
  <si>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</si>
  <si>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</si>
  <si>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</si>
  <si>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</si>
  <si>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</si>
  <si>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</si>
  <si>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</si>
  <si>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</si>
  <si>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</si>
  <si>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</si>
  <si>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</si>
  <si>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</si>
  <si>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</si>
  <si>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</si>
  <si>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</si>
  <si>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</si>
  <si>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</si>
  <si>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</si>
  <si>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</si>
  <si>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</si>
  <si>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</si>
  <si>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</si>
  <si>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</si>
  <si>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</si>
  <si>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</si>
  <si>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</si>
  <si>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</si>
  <si>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</si>
  <si>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</si>
  <si>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</si>
  <si>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</si>
  <si>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</si>
  <si>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</si>
  <si>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</si>
  <si>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</si>
  <si>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</si>
  <si>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</si>
  <si>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</si>
  <si>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</si>
  <si>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</si>
  <si>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</si>
  <si>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</si>
  <si>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</si>
  <si>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</si>
  <si>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</si>
  <si>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</si>
  <si>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</si>
  <si>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</si>
  <si>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</si>
  <si>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</si>
  <si>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</si>
  <si>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</si>
  <si>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</si>
  <si>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</si>
  <si>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</si>
  <si>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</si>
  <si>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</si>
  <si>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</si>
  <si>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</si>
  <si>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</si>
  <si>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</si>
  <si>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</si>
  <si>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</si>
  <si>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</si>
  <si>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</si>
  <si>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</si>
  <si>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</si>
  <si>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</si>
  <si>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</si>
  <si>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</si>
  <si>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</si>
  <si>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</si>
  <si>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</si>
  <si>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</si>
  <si>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</si>
  <si>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</si>
  <si>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</si>
  <si>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</si>
  <si>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</si>
  <si>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</si>
  <si>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</si>
  <si>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</si>
  <si>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</si>
  <si>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</si>
  <si>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</si>
  <si>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</si>
  <si>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</si>
  <si>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</si>
  <si>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</si>
  <si>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</si>
  <si>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</si>
  <si>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</si>
  <si>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</si>
  <si>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</si>
  <si>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</si>
  <si>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</si>
  <si>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</si>
  <si>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</si>
  <si>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</si>
  <si>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</si>
  <si>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</si>
  <si>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</si>
  <si>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</si>
  <si>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</si>
  <si>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</si>
  <si>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</si>
  <si>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</si>
  <si>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</si>
  <si>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</si>
  <si>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</si>
  <si>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</si>
  <si>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</si>
  <si>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</si>
  <si>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</si>
  <si>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</si>
  <si>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</si>
  <si>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</si>
  <si>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</si>
  <si>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</si>
  <si>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</si>
  <si>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</si>
  <si>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</si>
  <si>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</si>
  <si>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</si>
  <si>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</si>
  <si>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</si>
  <si>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</si>
  <si>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</si>
  <si>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</si>
  <si>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</si>
  <si>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</si>
  <si>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</si>
  <si>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</si>
  <si>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</si>
  <si>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</si>
  <si>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</si>
  <si>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</si>
  <si>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</si>
  <si>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</si>
  <si>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</si>
  <si>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</si>
  <si>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</si>
  <si>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</si>
  <si>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</si>
  <si>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</si>
  <si>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</si>
  <si>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</si>
  <si>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</si>
  <si>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</si>
  <si>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</si>
  <si>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</si>
  <si>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</si>
  <si>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</si>
  <si>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</si>
  <si>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</si>
  <si>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</si>
  <si>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</si>
  <si>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</si>
  <si>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</si>
  <si>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</si>
  <si>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</si>
  <si>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</si>
  <si>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</si>
  <si>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</si>
  <si>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</si>
  <si>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</si>
  <si>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</si>
  <si>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</si>
  <si>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</si>
  <si>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</si>
  <si>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</si>
  <si>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</si>
  <si>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</si>
  <si>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</si>
  <si>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</si>
  <si>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</si>
  <si>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</si>
  <si>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</si>
  <si>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</si>
  <si>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</si>
  <si>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</si>
  <si>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</si>
  <si>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</si>
  <si>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</si>
  <si>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</si>
  <si>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</si>
  <si>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</si>
  <si>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</si>
  <si>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</si>
  <si>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</si>
  <si>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</si>
  <si>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</si>
  <si>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</si>
  <si>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</si>
  <si>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</si>
  <si>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</si>
  <si>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</si>
  <si>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</si>
  <si>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</si>
  <si>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</si>
  <si>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</si>
  <si>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</si>
  <si>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</si>
  <si>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</si>
  <si>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</si>
  <si>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</si>
  <si>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</si>
  <si>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</si>
  <si>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</si>
  <si>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</si>
  <si>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</si>
  <si>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</si>
  <si>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</si>
  <si>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</si>
  <si>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</si>
  <si>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</si>
  <si>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</si>
  <si>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</si>
  <si>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</si>
  <si>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</si>
  <si>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</si>
  <si>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</si>
  <si>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</si>
  <si>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</si>
  <si>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</si>
  <si>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</si>
  <si>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</si>
  <si>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</si>
  <si>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</si>
  <si>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</si>
  <si>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</si>
  <si>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</si>
  <si>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</si>
  <si>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</si>
  <si>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</si>
  <si>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</si>
  <si>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</si>
  <si>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</si>
  <si>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</si>
  <si>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</si>
  <si>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</si>
  <si>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</si>
  <si>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</si>
  <si>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</si>
  <si>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</si>
  <si>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</si>
  <si>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</si>
  <si>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</si>
  <si>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</si>
  <si>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</si>
  <si>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</si>
  <si>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</si>
  <si>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</si>
  <si>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</si>
  <si>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</si>
  <si>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</si>
  <si>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</si>
  <si>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</si>
  <si>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</si>
  <si>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</si>
  <si>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</si>
  <si>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</si>
  <si>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</si>
  <si>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</si>
  <si>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</si>
  <si>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</si>
  <si>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</si>
  <si>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</si>
  <si>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</si>
  <si>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</si>
  <si>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</si>
  <si>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</si>
  <si>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</si>
  <si>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</si>
  <si>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</si>
  <si>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</si>
  <si>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</si>
  <si>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</si>
  <si>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</si>
  <si>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</si>
  <si>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</si>
  <si>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</si>
  <si>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</si>
  <si>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</si>
  <si>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</si>
  <si>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</si>
  <si>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</si>
  <si>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</si>
  <si>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</si>
  <si>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</si>
  <si>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</si>
  <si>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</si>
  <si>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</si>
  <si>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</si>
  <si>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</si>
  <si>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</si>
  <si>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</si>
  <si>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</si>
  <si>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</si>
  <si>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</si>
  <si>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</si>
  <si>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</si>
  <si>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</si>
  <si>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</si>
  <si>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</si>
  <si>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</si>
  <si>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</si>
  <si>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</si>
  <si>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</si>
  <si>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</si>
  <si>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</si>
  <si>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</si>
  <si>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</si>
  <si>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</si>
  <si>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</si>
  <si>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</si>
  <si>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</si>
  <si>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</si>
  <si>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</si>
  <si>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</si>
  <si>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</si>
  <si>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</si>
  <si>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</si>
  <si>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</si>
  <si>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</si>
  <si>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</si>
  <si>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</si>
  <si>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</si>
  <si>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</si>
  <si>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</si>
  <si>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</si>
  <si>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</si>
  <si>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</si>
  <si>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</si>
  <si>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</si>
  <si>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</si>
  <si>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</si>
  <si>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</si>
  <si>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</si>
  <si>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</si>
  <si>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</si>
  <si>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</si>
  <si>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</si>
  <si>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</si>
  <si>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</si>
  <si>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</si>
  <si>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</si>
  <si>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</si>
  <si>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</si>
  <si>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</si>
  <si>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</si>
  <si>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</si>
  <si>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</si>
  <si>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</si>
  <si>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</si>
  <si>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</si>
  <si>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</si>
  <si>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</si>
  <si>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</si>
  <si>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</si>
  <si>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</si>
  <si>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</si>
  <si>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</si>
  <si>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</si>
  <si>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</si>
  <si>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</si>
  <si>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</si>
  <si>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</si>
  <si>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</si>
  <si>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</si>
  <si>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</si>
  <si>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</si>
  <si>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</si>
  <si>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</si>
  <si>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</si>
  <si>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</si>
  <si>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</si>
  <si>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</si>
  <si>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</si>
  <si>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</si>
  <si>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</si>
  <si>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</si>
  <si>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</si>
  <si>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</si>
  <si>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</si>
  <si>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</si>
  <si>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</si>
  <si>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</si>
  <si>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</si>
  <si>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</si>
  <si>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</si>
  <si>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</si>
  <si>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</si>
  <si>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</si>
  <si>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</si>
  <si>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</si>
  <si>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</si>
  <si>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</si>
  <si>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</si>
  <si>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</si>
  <si>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</si>
  <si>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</si>
  <si>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</si>
  <si>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</si>
  <si>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</si>
  <si>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</si>
  <si>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</si>
  <si>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</si>
  <si>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</si>
  <si>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</si>
  <si>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</si>
  <si>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</si>
  <si>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</si>
  <si>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</si>
  <si>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</si>
  <si>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</si>
  <si>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</si>
  <si>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</si>
  <si>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</si>
  <si>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</si>
  <si>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</si>
  <si>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</si>
  <si>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</si>
  <si>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</si>
  <si>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</si>
  <si>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</si>
  <si>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</si>
  <si>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</si>
  <si>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</si>
  <si>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</si>
  <si>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</si>
  <si>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</si>
  <si>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</si>
  <si>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</si>
  <si>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</si>
  <si>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</si>
  <si>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</si>
  <si>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</si>
  <si>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</si>
  <si>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</si>
  <si>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</si>
  <si>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</si>
  <si>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</si>
  <si>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</si>
  <si>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</si>
  <si>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</si>
  <si>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</si>
  <si>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</si>
  <si>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</si>
  <si>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</si>
  <si>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</si>
  <si>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</si>
  <si>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</si>
  <si>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</si>
  <si>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</si>
  <si>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</si>
  <si>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</si>
  <si>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</si>
  <si>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</si>
  <si>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</si>
  <si>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</si>
  <si>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</si>
  <si>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</si>
  <si>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</si>
  <si>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</si>
  <si>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</si>
  <si>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</si>
  <si>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</si>
  <si>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</si>
  <si>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</si>
  <si>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</si>
  <si>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</si>
  <si>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</si>
  <si>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</si>
  <si>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</si>
  <si>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</si>
  <si>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</si>
  <si>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</si>
  <si>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</si>
  <si>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</si>
  <si>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</si>
  <si>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</si>
  <si>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</si>
  <si>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</si>
  <si>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</si>
  <si>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</si>
  <si>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</si>
  <si>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</si>
  <si>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</si>
  <si>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</si>
  <si>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</si>
  <si>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</si>
  <si>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</si>
  <si>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</si>
  <si>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</si>
  <si>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</si>
  <si>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</si>
  <si>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</si>
  <si>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</si>
  <si>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</si>
  <si>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</si>
  <si>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</si>
  <si>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</si>
  <si>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</si>
  <si>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</si>
  <si>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</si>
  <si>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</si>
  <si>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</si>
  <si>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</si>
  <si>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</si>
  <si>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</si>
  <si>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</si>
  <si>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</si>
  <si>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</si>
  <si>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</si>
  <si>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</si>
  <si>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</si>
  <si>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</si>
  <si>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</si>
  <si>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</si>
  <si>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</si>
  <si>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</si>
  <si>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</si>
  <si>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</si>
  <si>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</si>
  <si>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</si>
  <si>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</si>
  <si>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</si>
  <si>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</si>
  <si>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</si>
  <si>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</si>
  <si>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</si>
  <si>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</si>
  <si>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</si>
  <si>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</si>
  <si>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</si>
  <si>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</si>
  <si>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</si>
  <si>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</si>
  <si>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</si>
  <si>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</si>
  <si>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</si>
  <si>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</si>
  <si>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</si>
  <si>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</si>
  <si>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</si>
  <si>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</si>
  <si>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</si>
  <si>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</si>
  <si>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</si>
  <si>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</si>
  <si>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</si>
  <si>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</si>
  <si>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</si>
  <si>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</si>
  <si>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</si>
  <si>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</si>
  <si>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</si>
  <si>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</si>
  <si>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</si>
  <si>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</si>
  <si>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</si>
  <si>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</si>
  <si>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</si>
  <si>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</si>
  <si>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</si>
  <si>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</si>
  <si>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</si>
  <si>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</si>
  <si>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</si>
  <si>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</si>
  <si>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</si>
  <si>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</si>
  <si>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</si>
  <si>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</si>
  <si>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</si>
  <si>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</si>
  <si>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</si>
  <si>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</si>
  <si>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</si>
  <si>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</si>
  <si>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</si>
  <si>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</si>
  <si>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</si>
  <si>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</si>
  <si>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</si>
  <si>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</si>
  <si>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</si>
  <si>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</si>
  <si>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</si>
  <si>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</si>
  <si>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</si>
  <si>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</si>
  <si>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</si>
  <si>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</si>
  <si>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</si>
  <si>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</si>
  <si>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</si>
  <si>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</si>
  <si>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</si>
  <si>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</si>
  <si>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</si>
  <si>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</si>
  <si>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</si>
  <si>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</si>
  <si>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</si>
  <si>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</si>
  <si>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</si>
  <si>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</si>
  <si>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</si>
  <si>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</si>
  <si>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</si>
  <si>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</si>
  <si>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</si>
  <si>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</si>
  <si>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</si>
  <si>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</si>
  <si>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</si>
  <si>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</si>
  <si>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</si>
  <si>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</si>
  <si>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</si>
  <si>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</si>
  <si>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</si>
  <si>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</si>
  <si>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</si>
  <si>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</si>
  <si>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</si>
  <si>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</si>
  <si>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</si>
  <si>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</si>
  <si>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</si>
  <si>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</si>
  <si>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</si>
  <si>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</si>
  <si>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</si>
  <si>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</si>
  <si>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</si>
  <si>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</si>
  <si>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</si>
  <si>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</si>
  <si>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</si>
  <si>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</si>
  <si>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</si>
  <si>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</si>
  <si>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</si>
  <si>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</si>
  <si>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</si>
  <si>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</si>
  <si>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</si>
  <si>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</si>
  <si>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</si>
  <si>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</si>
  <si>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</si>
  <si>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</si>
  <si>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</si>
  <si>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</si>
  <si>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</si>
  <si>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</si>
  <si>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</si>
  <si>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</si>
  <si>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</si>
  <si>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</si>
  <si>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</si>
  <si>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</si>
  <si>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</si>
  <si>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</si>
  <si>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</si>
  <si>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</si>
  <si>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</si>
  <si>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</si>
  <si>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</si>
  <si>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</si>
  <si>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</si>
  <si>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</si>
  <si>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</si>
  <si>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</si>
  <si>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</si>
  <si>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</si>
  <si>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</si>
  <si>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</si>
  <si>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</si>
  <si>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</si>
  <si>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</si>
  <si>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</si>
  <si>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</si>
  <si>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</si>
  <si>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</si>
  <si>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</si>
  <si>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</si>
  <si>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</si>
  <si>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</si>
  <si>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</si>
  <si>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</si>
  <si>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</si>
  <si>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</si>
  <si>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</si>
  <si>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</si>
  <si>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</si>
  <si>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</si>
  <si>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</si>
  <si>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</si>
  <si>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</si>
  <si>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</si>
  <si>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</si>
  <si>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</si>
  <si>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</si>
  <si>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</si>
  <si>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</si>
  <si>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</si>
  <si>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</si>
  <si>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</si>
  <si>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</si>
  <si>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</si>
  <si>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</si>
  <si>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</si>
  <si>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</si>
  <si>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</si>
  <si>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</si>
  <si>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</si>
  <si>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</si>
  <si>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</si>
  <si>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</si>
  <si>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</si>
  <si>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</si>
  <si>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</si>
  <si>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</si>
  <si>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</si>
  <si>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</si>
  <si>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</si>
  <si>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</si>
  <si>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</si>
  <si>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</si>
  <si>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</si>
  <si>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</si>
  <si>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</si>
  <si>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</si>
  <si>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</si>
  <si>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</si>
  <si>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</si>
  <si>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</si>
  <si>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</si>
  <si>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</si>
  <si>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</si>
  <si>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</si>
  <si>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</si>
  <si>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</si>
  <si>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</si>
  <si>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</si>
  <si>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</si>
  <si>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</si>
  <si>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</si>
  <si>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</si>
  <si>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</si>
  <si>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</si>
  <si>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</si>
  <si>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</si>
  <si>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</si>
  <si>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</si>
  <si>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</si>
  <si>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</si>
  <si>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</si>
  <si>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</si>
  <si>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</si>
  <si>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</si>
  <si>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</si>
  <si>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</si>
  <si>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</si>
  <si>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</si>
  <si>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</si>
  <si>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</si>
  <si>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</si>
  <si>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</si>
  <si>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</si>
  <si>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</si>
  <si>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</si>
  <si>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</si>
  <si>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</si>
  <si>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</si>
  <si>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</si>
  <si>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</si>
  <si>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</si>
  <si>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</si>
  <si>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</si>
  <si>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</si>
  <si>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</si>
  <si>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</si>
  <si>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</si>
  <si>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</si>
  <si>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</si>
  <si>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</si>
  <si>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</si>
  <si>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</si>
  <si>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</si>
  <si>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</si>
  <si>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</si>
  <si>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</si>
  <si>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</si>
  <si>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</si>
  <si>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</si>
  <si>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</si>
  <si>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</si>
  <si>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</si>
  <si>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</si>
  <si>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</si>
  <si>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</si>
  <si>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</si>
  <si>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</si>
  <si>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</si>
  <si>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</si>
  <si>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</si>
  <si>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</si>
  <si>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</si>
  <si>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</si>
  <si>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</si>
  <si>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</si>
  <si>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</si>
  <si>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</si>
  <si>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</si>
  <si>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</si>
  <si>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</si>
  <si>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</si>
  <si>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</si>
  <si>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</si>
  <si>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</si>
  <si>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</si>
  <si>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</si>
  <si>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</si>
  <si>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</si>
  <si>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</si>
  <si>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</si>
  <si>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</si>
  <si>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</si>
  <si>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</si>
  <si>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</si>
  <si>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</si>
  <si>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</si>
  <si>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</si>
  <si>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</si>
  <si>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</si>
  <si>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</si>
  <si>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</si>
  <si>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</si>
  <si>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</si>
  <si>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</si>
  <si>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</si>
  <si>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</si>
  <si>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</si>
  <si>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</si>
  <si>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</si>
  <si>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</si>
  <si>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</si>
  <si>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</si>
  <si>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</si>
  <si>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</si>
  <si>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</si>
  <si>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</si>
  <si>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</si>
  <si>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</si>
  <si>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</si>
  <si>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</si>
  <si>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</si>
  <si>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</si>
  <si>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</si>
  <si>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</si>
  <si>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</si>
  <si>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</si>
  <si>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</si>
  <si>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</si>
  <si>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</si>
  <si>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</si>
  <si>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</si>
  <si>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</si>
  <si>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</si>
  <si>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</si>
  <si>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</si>
  <si>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</si>
  <si>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</si>
  <si>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</si>
  <si>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</si>
  <si>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</si>
  <si>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</si>
  <si>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</si>
  <si>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</si>
  <si>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</si>
  <si>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</si>
  <si>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</si>
  <si>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</si>
  <si>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</si>
  <si>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</si>
  <si>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</si>
  <si>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</si>
  <si>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</si>
  <si>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</si>
  <si>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</si>
  <si>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</si>
  <si>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</si>
  <si>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</si>
  <si>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</si>
  <si>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</si>
  <si>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</si>
  <si>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</si>
  <si>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</si>
  <si>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</si>
  <si>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</si>
  <si>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</si>
  <si>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</si>
  <si>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</si>
  <si>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</si>
  <si>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</si>
  <si>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</si>
  <si>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</si>
  <si>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</si>
  <si>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</si>
  <si>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</si>
  <si>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</si>
  <si>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</si>
  <si>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</si>
  <si>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</si>
  <si>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</si>
  <si>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</si>
  <si>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</si>
  <si>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</si>
  <si>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</si>
  <si>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</si>
  <si>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</si>
  <si>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</si>
  <si>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</si>
  <si>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</si>
  <si>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</si>
  <si>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</si>
  <si>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</si>
  <si>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</si>
  <si>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</si>
  <si>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</si>
  <si>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</si>
  <si>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</si>
  <si>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</si>
  <si>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</si>
  <si>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</si>
  <si>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</si>
  <si>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</si>
  <si>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</si>
  <si>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</si>
  <si>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</si>
  <si>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</si>
  <si>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</si>
  <si>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</si>
  <si>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</si>
  <si>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</si>
  <si>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</si>
  <si>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</si>
  <si>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</si>
  <si>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</si>
  <si>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</si>
  <si>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</si>
  <si>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</si>
  <si>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</si>
  <si>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</si>
  <si>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</si>
  <si>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</si>
  <si>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</si>
  <si>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</si>
  <si>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</si>
  <si>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</si>
  <si>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</si>
  <si>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</si>
  <si>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</si>
  <si>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</si>
  <si>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</si>
  <si>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</si>
  <si>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</si>
  <si>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</si>
  <si>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</si>
  <si>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</si>
  <si>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</si>
  <si>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</si>
  <si>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</si>
  <si>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</si>
  <si>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</si>
  <si>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</si>
  <si>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</si>
  <si>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</si>
  <si>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</si>
  <si>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</si>
  <si>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</si>
  <si>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</si>
  <si>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</si>
  <si>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</si>
  <si>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</si>
  <si>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</si>
  <si>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</si>
  <si>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</si>
  <si>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</si>
  <si>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</si>
  <si>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</si>
  <si>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</si>
  <si>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</si>
  <si>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</si>
  <si>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</si>
  <si>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</si>
  <si>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</si>
  <si>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</si>
  <si>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</si>
  <si>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</si>
  <si>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</si>
  <si>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</si>
  <si>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</si>
  <si>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</si>
  <si>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</si>
  <si>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</si>
  <si>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</si>
  <si>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</si>
  <si>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</si>
  <si>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</si>
  <si>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</si>
  <si>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</si>
  <si>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</si>
  <si>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</si>
  <si>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</si>
  <si>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</si>
  <si>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</si>
  <si>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</si>
  <si>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</si>
  <si>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</si>
  <si>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</si>
  <si>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</si>
  <si>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</si>
  <si>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</si>
  <si>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</si>
  <si>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</si>
  <si>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</si>
  <si>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</si>
  <si>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</si>
  <si>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</si>
  <si>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</si>
  <si>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</si>
  <si>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</si>
  <si>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</si>
  <si>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</si>
  <si>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</si>
  <si>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</si>
  <si>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</si>
  <si>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</si>
  <si>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</si>
  <si>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</si>
  <si>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</si>
  <si>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</si>
  <si>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</si>
  <si>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</si>
  <si>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</si>
  <si>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</si>
  <si>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</si>
  <si>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</si>
  <si>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</si>
  <si>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</si>
  <si>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</si>
  <si>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</si>
  <si>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</si>
  <si>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</si>
  <si>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</si>
  <si>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</si>
  <si>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</si>
  <si>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</si>
  <si>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</si>
  <si>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</si>
  <si>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</si>
  <si>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</si>
  <si>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</si>
  <si>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</si>
  <si>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</si>
  <si>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</si>
  <si>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</si>
  <si>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</si>
  <si>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</si>
  <si>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</si>
  <si>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</si>
  <si>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</si>
  <si>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</si>
  <si>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</si>
  <si>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</si>
  <si>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</si>
  <si>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</si>
  <si>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</si>
  <si>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</si>
  <si>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</si>
  <si>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</si>
  <si>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</si>
  <si>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</si>
  <si>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</si>
  <si>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</si>
  <si>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</si>
  <si>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</si>
  <si>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</si>
  <si>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</si>
  <si>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</si>
  <si>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</si>
  <si>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</si>
  <si>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</si>
  <si>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</si>
  <si>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</si>
  <si>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</si>
  <si>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</si>
  <si>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</si>
  <si>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</si>
  <si>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</si>
  <si>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</si>
  <si>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</si>
  <si>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</si>
  <si>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</si>
  <si>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</si>
  <si>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</si>
  <si>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</si>
  <si>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</si>
  <si>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</si>
  <si>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</si>
  <si>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</si>
  <si>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</si>
  <si>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</si>
  <si>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</si>
  <si>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</si>
  <si>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</si>
  <si>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</si>
  <si>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</si>
  <si>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</si>
  <si>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</si>
  <si>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</si>
  <si>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</si>
  <si>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</si>
  <si>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</si>
  <si>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</si>
  <si>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</si>
  <si>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</si>
  <si>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</si>
  <si>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</si>
  <si>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</si>
  <si>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</si>
  <si>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</si>
  <si>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</si>
  <si>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</si>
  <si>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</si>
  <si>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</si>
  <si>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</si>
  <si>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</si>
  <si>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</si>
  <si>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</si>
  <si>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</si>
  <si>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</si>
  <si>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</si>
  <si>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</si>
  <si>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</si>
  <si>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</si>
  <si>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</si>
  <si>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</si>
  <si>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</si>
  <si>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</si>
  <si>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</si>
  <si>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</si>
  <si>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</si>
  <si>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</si>
  <si>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</si>
  <si>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</si>
  <si>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</si>
  <si>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</si>
  <si>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</si>
  <si>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</si>
  <si>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</si>
  <si>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</si>
  <si>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</si>
  <si>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</si>
  <si>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</si>
  <si>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</si>
  <si>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</si>
  <si>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</si>
  <si>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</si>
  <si>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</si>
  <si>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</si>
  <si>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</si>
  <si>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</si>
  <si>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</si>
  <si>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</si>
  <si>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</si>
  <si>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</si>
  <si>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</si>
  <si>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</si>
  <si>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</si>
  <si>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</si>
  <si>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</si>
  <si>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</si>
  <si>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</si>
  <si>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</si>
  <si>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</si>
  <si>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</si>
  <si>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</si>
  <si>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</si>
  <si>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</si>
  <si>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</si>
  <si>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</si>
  <si>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</si>
  <si>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</si>
  <si>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</si>
  <si>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</si>
  <si>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</si>
  <si>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</si>
  <si>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</si>
  <si>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</si>
  <si>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</si>
  <si>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</si>
  <si>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</si>
  <si>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</si>
  <si>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</si>
  <si>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</si>
  <si>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</si>
  <si>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</si>
  <si>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</si>
  <si>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</si>
  <si>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</si>
  <si>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</si>
  <si>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</si>
  <si>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</si>
  <si>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</si>
  <si>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</si>
  <si>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</si>
  <si>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</si>
  <si>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</si>
  <si>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</si>
  <si>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</si>
  <si>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</si>
  <si>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</si>
  <si>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</si>
  <si>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</si>
  <si>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</si>
  <si>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</si>
  <si>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</si>
  <si>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</si>
  <si>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</si>
  <si>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</si>
  <si>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</si>
  <si>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</si>
  <si>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</si>
  <si>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</si>
  <si>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</si>
  <si>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</si>
  <si>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</si>
  <si>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</si>
  <si>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</si>
  <si>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</si>
  <si>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</si>
  <si>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</si>
  <si>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</si>
  <si>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</si>
  <si>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</si>
  <si>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</si>
  <si>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</si>
  <si>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</si>
  <si>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</si>
  <si>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</si>
  <si>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</si>
  <si>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</si>
  <si>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</si>
  <si>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</si>
  <si>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</si>
  <si>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</si>
  <si>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</si>
  <si>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</si>
  <si>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</si>
  <si>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</si>
  <si>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</si>
  <si>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</si>
  <si>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</si>
  <si>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</si>
  <si>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</si>
  <si>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</si>
  <si>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</si>
  <si>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</si>
  <si>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</si>
  <si>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</si>
  <si>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</si>
  <si>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</si>
  <si>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</si>
  <si>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</si>
  <si>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</si>
  <si>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</si>
  <si>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</si>
  <si>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</si>
  <si>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</si>
  <si>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</si>
  <si>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</si>
  <si>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</si>
  <si>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</si>
  <si>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</si>
  <si>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</si>
  <si>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</si>
  <si>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</si>
  <si>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</si>
  <si>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</si>
  <si>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</si>
  <si>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</si>
  <si>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</si>
  <si>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</si>
  <si>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</si>
  <si>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</si>
  <si>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</si>
  <si>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</si>
  <si>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</si>
  <si>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</si>
  <si>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</si>
  <si>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</si>
  <si>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</si>
  <si>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</si>
  <si>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</si>
  <si>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</si>
  <si>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</si>
  <si>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</si>
  <si>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</si>
  <si>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</si>
  <si>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</si>
  <si>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</si>
  <si>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</si>
  <si>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</si>
  <si>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</si>
  <si>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</si>
  <si>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</si>
  <si>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</si>
  <si>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</si>
  <si>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</si>
  <si>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</si>
  <si>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</si>
  <si>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</si>
  <si>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</si>
  <si>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</si>
  <si>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</si>
  <si>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</si>
  <si>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</si>
  <si>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</si>
  <si>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</si>
  <si>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</si>
  <si>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</si>
  <si>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</si>
  <si>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</si>
  <si>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</si>
  <si>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</si>
  <si>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</si>
  <si>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</si>
  <si>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</si>
  <si>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</si>
  <si>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</si>
  <si>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</si>
  <si>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</si>
  <si>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</si>
  <si>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</si>
  <si>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</si>
  <si>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</si>
  <si>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</si>
  <si>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</si>
  <si>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</si>
  <si>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</si>
  <si>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</si>
  <si>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</si>
  <si>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</si>
  <si>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</si>
  <si>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</si>
  <si>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</si>
  <si>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</si>
  <si>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</si>
  <si>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</si>
  <si>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</si>
  <si>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</si>
  <si>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</si>
  <si>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</si>
  <si>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</si>
  <si>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</si>
  <si>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</si>
  <si>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</si>
  <si>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</si>
  <si>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</si>
  <si>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</si>
  <si>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</si>
  <si>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</si>
  <si>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</si>
  <si>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</si>
  <si>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</si>
  <si>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</si>
  <si>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</si>
  <si>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</si>
  <si>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</si>
  <si>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</si>
  <si>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</si>
  <si>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</si>
  <si>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</si>
  <si>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</si>
  <si>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</si>
  <si>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</si>
  <si>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</si>
  <si>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</si>
  <si>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</si>
  <si>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</si>
  <si>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</si>
  <si>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</si>
  <si>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</si>
  <si>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</si>
  <si>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</si>
  <si>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</si>
  <si>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</si>
  <si>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</si>
  <si>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</si>
  <si>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</si>
  <si>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</si>
  <si>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</si>
  <si>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</si>
  <si>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</si>
  <si>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</si>
  <si>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</si>
  <si>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</si>
  <si>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</si>
  <si>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</si>
  <si>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</si>
  <si>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</si>
  <si>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</si>
  <si>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</si>
  <si>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</si>
  <si>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</si>
  <si>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</si>
  <si>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</si>
  <si>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</si>
  <si>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</si>
  <si>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</si>
  <si>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</si>
  <si>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</si>
  <si>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</si>
  <si>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</si>
  <si>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</si>
  <si>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</si>
  <si>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</si>
  <si>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</si>
  <si>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</si>
  <si>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</si>
  <si>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</si>
  <si>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</si>
  <si>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</si>
  <si>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</si>
  <si>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</si>
  <si>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</si>
  <si>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</si>
  <si>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</si>
  <si>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</si>
  <si>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</si>
  <si>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</si>
  <si>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</si>
  <si>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</si>
  <si>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</si>
  <si>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</si>
  <si>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</si>
  <si>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</si>
  <si>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</si>
  <si>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</si>
  <si>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</si>
  <si>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</si>
  <si>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</si>
  <si>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</si>
  <si>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</si>
  <si>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</si>
  <si>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</si>
  <si>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</si>
  <si>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</si>
  <si>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</si>
  <si>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</si>
  <si>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</si>
  <si>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</si>
  <si>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</si>
  <si>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</si>
  <si>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</si>
  <si>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</si>
  <si>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</si>
  <si>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</si>
  <si>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</si>
  <si>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</si>
  <si>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</si>
  <si>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</si>
  <si>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</si>
  <si>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</si>
  <si>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</si>
  <si>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</si>
  <si>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</si>
  <si>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</si>
  <si>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</si>
  <si>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</si>
  <si>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</si>
  <si>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</si>
  <si>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</si>
  <si>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</si>
  <si>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</si>
  <si>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</si>
  <si>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</si>
  <si>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</si>
  <si>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</si>
  <si>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</si>
  <si>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</si>
  <si>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</si>
  <si>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</si>
  <si>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</si>
  <si>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</si>
  <si>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</si>
  <si>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</si>
  <si>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</si>
  <si>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</si>
  <si>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</si>
  <si>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</si>
  <si>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</si>
  <si>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</si>
  <si>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</si>
  <si>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</si>
  <si>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</si>
  <si>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</si>
  <si>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</si>
  <si>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</si>
  <si>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</si>
  <si>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</si>
  <si>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</si>
  <si>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</si>
  <si>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</si>
  <si>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</si>
  <si>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</si>
  <si>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</si>
  <si>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</si>
  <si>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</si>
  <si>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</si>
  <si>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</si>
  <si>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</si>
  <si>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</si>
  <si>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</si>
  <si>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</si>
  <si>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</si>
  <si>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</si>
  <si>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</si>
  <si>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</si>
  <si>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</si>
  <si>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</si>
  <si>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</si>
  <si>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</si>
  <si>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</si>
  <si>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</si>
  <si>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</si>
  <si>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</si>
  <si>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</si>
  <si>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</si>
  <si>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</si>
  <si>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</si>
  <si>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</si>
  <si>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</si>
  <si>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</si>
  <si>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</si>
  <si>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</si>
  <si>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</si>
  <si>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</si>
  <si>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</si>
  <si>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</si>
  <si>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</si>
  <si>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</si>
  <si>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</si>
  <si>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</si>
  <si>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</si>
  <si>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</si>
  <si>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</si>
  <si>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</si>
  <si>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</si>
  <si>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</si>
  <si>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</si>
  <si>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</si>
  <si>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</si>
  <si>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</si>
  <si>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</si>
  <si>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</si>
  <si>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</si>
  <si>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</si>
  <si>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</si>
  <si>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</si>
  <si>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</si>
  <si>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</si>
  <si>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</si>
  <si>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</si>
  <si>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</si>
  <si>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</si>
  <si>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</si>
  <si>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</si>
  <si>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</si>
  <si>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</si>
  <si>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</si>
  <si>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</si>
  <si>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</si>
  <si>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</si>
  <si>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</si>
  <si>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</si>
  <si>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</si>
  <si>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</si>
  <si>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</si>
  <si>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</si>
  <si>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</si>
  <si>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</si>
  <si>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</si>
  <si>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</si>
  <si>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</si>
  <si>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</si>
  <si>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</si>
  <si>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</si>
  <si>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</si>
  <si>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</si>
  <si>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</si>
  <si>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</si>
  <si>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</si>
  <si>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</si>
  <si>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</si>
  <si>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</si>
  <si>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</si>
  <si>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</si>
  <si>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</si>
  <si>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</si>
  <si>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</si>
  <si>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</si>
  <si>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</si>
  <si>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</si>
  <si>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</si>
  <si>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</si>
  <si>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</si>
  <si>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</si>
  <si>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</si>
  <si>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</si>
  <si>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</si>
  <si>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</si>
  <si>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</si>
  <si>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</si>
  <si>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</si>
  <si>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</si>
  <si>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</si>
  <si>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</si>
  <si>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</si>
  <si>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</si>
  <si>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</si>
  <si>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</si>
  <si>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</si>
  <si>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</si>
  <si>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</si>
  <si>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</si>
  <si>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</si>
  <si>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</si>
  <si>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</si>
  <si>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</si>
  <si>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</si>
  <si>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</si>
  <si>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</si>
  <si>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</si>
  <si>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</si>
  <si>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</si>
  <si>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</si>
  <si>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</si>
  <si>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</si>
  <si>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</si>
  <si>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</si>
  <si>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</si>
  <si>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</si>
  <si>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</si>
  <si>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</si>
  <si>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</si>
  <si>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</si>
  <si>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</si>
  <si>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</si>
  <si>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</si>
  <si>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</si>
  <si>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</si>
  <si>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</si>
  <si>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</si>
  <si>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</si>
  <si>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</si>
  <si>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</si>
  <si>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</si>
  <si>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</si>
  <si>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</si>
  <si>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</si>
  <si>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</si>
  <si>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</si>
  <si>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</si>
  <si>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</si>
  <si>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</si>
  <si>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</si>
  <si>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</si>
  <si>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</si>
  <si>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</si>
  <si>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</si>
  <si>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</si>
  <si>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</si>
  <si>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</si>
  <si>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</si>
  <si>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</si>
  <si>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</si>
  <si>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</si>
  <si>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</si>
  <si>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</si>
  <si>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</si>
  <si>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</si>
  <si>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</si>
  <si>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</si>
  <si>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</si>
  <si>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</si>
  <si>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</si>
  <si>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</si>
  <si>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</si>
  <si>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</si>
  <si>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</si>
  <si>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</si>
  <si>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</si>
  <si>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</si>
  <si>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</si>
  <si>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</si>
  <si>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</si>
  <si>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</si>
  <si>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</si>
  <si>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</si>
  <si>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</si>
  <si>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</si>
  <si>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</si>
  <si>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</si>
  <si>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</si>
  <si>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</si>
  <si>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</si>
  <si>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</si>
  <si>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</si>
  <si>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</si>
  <si>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</si>
  <si>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</si>
  <si>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</si>
  <si>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</si>
  <si>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</si>
  <si>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</si>
  <si>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</si>
  <si>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</si>
  <si>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</si>
  <si>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</si>
  <si>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</si>
  <si>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</si>
  <si>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</si>
  <si>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</si>
  <si>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</si>
  <si>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</si>
  <si>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</si>
  <si>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</si>
  <si>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</si>
  <si>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</si>
  <si>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</si>
  <si>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</si>
  <si>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</si>
  <si>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</si>
  <si>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</si>
  <si>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</si>
  <si>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</si>
  <si>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</si>
  <si>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</si>
  <si>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</si>
  <si>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</si>
  <si>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</si>
  <si>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</si>
  <si>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</si>
  <si>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</si>
  <si>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</si>
  <si>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</si>
  <si>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</si>
  <si>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</si>
  <si>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</si>
  <si>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</si>
  <si>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</si>
  <si>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</si>
  <si>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</si>
  <si>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</si>
  <si>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</si>
  <si>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</si>
  <si>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</si>
  <si>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</si>
  <si>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</si>
  <si>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</si>
  <si>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</si>
  <si>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</si>
  <si>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</si>
  <si>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</si>
  <si>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</si>
  <si>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</si>
  <si>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</si>
  <si>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</si>
  <si>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</si>
  <si>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</si>
  <si>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</si>
  <si>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</si>
  <si>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</si>
  <si>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</si>
  <si>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</si>
  <si>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</si>
  <si>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</si>
  <si>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</si>
  <si>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</si>
  <si>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</si>
  <si>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</si>
  <si>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</si>
  <si>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</si>
  <si>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</si>
  <si>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</si>
  <si>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</si>
  <si>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</si>
  <si>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</si>
  <si>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</si>
  <si>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</si>
  <si>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</si>
  <si>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</si>
  <si>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</si>
  <si>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</si>
  <si>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</si>
  <si>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</si>
  <si>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</si>
  <si>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</si>
  <si>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</si>
  <si>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</si>
  <si>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</si>
  <si>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</si>
  <si>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</si>
  <si>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</si>
  <si>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</si>
  <si>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</si>
  <si>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</si>
  <si>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</si>
  <si>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</si>
  <si>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</si>
  <si>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</si>
  <si>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</si>
  <si>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</si>
  <si>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</si>
  <si>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</si>
  <si>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</si>
  <si>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</si>
  <si>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</si>
  <si>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</si>
  <si>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</si>
  <si>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</si>
  <si>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</si>
  <si>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</si>
  <si>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</si>
  <si>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</si>
  <si>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</si>
  <si>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</si>
  <si>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</si>
  <si>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</si>
  <si>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</si>
  <si>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</si>
  <si>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</si>
  <si>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</si>
  <si>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</si>
  <si>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</si>
  <si>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</si>
  <si>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</si>
  <si>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</si>
  <si>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</si>
  <si>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</si>
  <si>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</si>
  <si>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</si>
  <si>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</si>
  <si>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</si>
  <si>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</si>
  <si>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</si>
  <si>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</si>
  <si>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</si>
  <si>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</si>
  <si>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</si>
  <si>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</si>
  <si>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</si>
  <si>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</si>
  <si>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</si>
  <si>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</si>
  <si>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</si>
  <si>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</si>
  <si>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</si>
  <si>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</si>
  <si>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</si>
  <si>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</si>
  <si>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</si>
  <si>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</si>
  <si>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</si>
  <si>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</si>
  <si>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</si>
  <si>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</si>
  <si>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</si>
  <si>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</si>
  <si>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</si>
  <si>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</si>
  <si>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</si>
  <si>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</si>
  <si>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</si>
  <si>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</si>
  <si>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</si>
  <si>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</si>
  <si>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</si>
  <si>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</si>
  <si>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</si>
  <si>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</si>
  <si>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</si>
  <si>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</si>
  <si>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</si>
  <si>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</si>
  <si>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</si>
  <si>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</si>
  <si>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</si>
  <si>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</si>
  <si>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</si>
  <si>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</si>
  <si>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</si>
  <si>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</si>
  <si>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</si>
  <si>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</si>
  <si>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</si>
  <si>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</si>
  <si>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</si>
  <si>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</si>
  <si>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</si>
  <si>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</si>
  <si>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</si>
  <si>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</si>
  <si>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</si>
  <si>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</si>
  <si>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</si>
  <si>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</si>
  <si>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</si>
  <si>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</si>
  <si>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</si>
  <si>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</si>
  <si>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</si>
  <si>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</si>
  <si>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</si>
  <si>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</si>
  <si>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</si>
  <si>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</si>
  <si>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</si>
  <si>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</si>
  <si>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</si>
  <si>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</si>
  <si>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</si>
  <si>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</si>
  <si>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</si>
  <si>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</si>
  <si>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</si>
  <si>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</si>
  <si>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</si>
  <si>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</si>
  <si>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</si>
  <si>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</si>
  <si>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</si>
  <si>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</si>
  <si>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</si>
  <si>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</si>
  <si>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</si>
  <si>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</si>
  <si>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</si>
  <si>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</si>
  <si>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</si>
  <si>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</si>
  <si>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</si>
  <si>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</si>
  <si>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</si>
  <si>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</si>
  <si>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</si>
  <si>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</si>
  <si>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</si>
  <si>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</si>
  <si>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</si>
  <si>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</si>
  <si>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</si>
  <si>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</si>
  <si>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</si>
  <si>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</si>
  <si>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</si>
  <si>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</si>
  <si>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</si>
  <si>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</si>
  <si>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</si>
  <si>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</si>
  <si>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</si>
  <si>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</si>
  <si>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</si>
  <si>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</si>
  <si>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</si>
  <si>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</si>
  <si>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</si>
  <si>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</si>
  <si>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</si>
  <si>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</si>
  <si>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</si>
  <si>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</si>
  <si>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</si>
  <si>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</si>
  <si>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</si>
  <si>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</si>
  <si>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</si>
  <si>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</si>
  <si>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</si>
  <si>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</si>
  <si>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</si>
  <si>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</si>
  <si>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</si>
  <si>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</si>
  <si>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</si>
  <si>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</si>
  <si>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</si>
  <si>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</si>
  <si>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</si>
  <si>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</si>
  <si>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</si>
  <si>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</si>
  <si>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</si>
  <si>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</si>
  <si>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</si>
  <si>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</si>
  <si>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</si>
  <si>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</si>
  <si>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</si>
  <si>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</si>
  <si>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</si>
  <si>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</si>
  <si>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</si>
  <si>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</si>
  <si>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</si>
  <si>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</si>
  <si>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</si>
  <si>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</si>
  <si>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</si>
  <si>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</si>
  <si>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</si>
  <si>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</si>
  <si>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</si>
  <si>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</si>
  <si>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</si>
  <si>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</si>
  <si>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</si>
  <si>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</si>
  <si>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</si>
  <si>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</si>
  <si>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</si>
  <si>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</si>
  <si>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</si>
  <si>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</si>
  <si>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</si>
  <si>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</si>
  <si>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</si>
  <si>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</si>
  <si>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</si>
  <si>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</si>
  <si>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</si>
  <si>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</si>
  <si>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</si>
  <si>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</si>
  <si>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</si>
  <si>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</si>
  <si>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</si>
  <si>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</si>
  <si>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</si>
  <si>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</si>
  <si>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</si>
  <si>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</si>
  <si>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</si>
  <si>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</si>
  <si>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</si>
  <si>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</si>
  <si>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</si>
  <si>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</si>
  <si>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</si>
  <si>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</si>
  <si>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</si>
  <si>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</si>
  <si>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</si>
  <si>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</si>
  <si>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</si>
  <si>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</si>
  <si>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</si>
  <si>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</si>
  <si>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</si>
  <si>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</si>
  <si>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</si>
  <si>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</si>
  <si>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</si>
  <si>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</si>
  <si>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</si>
  <si>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</si>
  <si>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</si>
  <si>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</si>
  <si>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</si>
  <si>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</si>
  <si>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</si>
  <si>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</si>
  <si>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</si>
  <si>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</si>
  <si>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</si>
  <si>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</si>
  <si>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</si>
  <si>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</si>
  <si>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</si>
  <si>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</si>
  <si>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</si>
  <si>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</si>
  <si>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</si>
  <si>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</si>
  <si>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</si>
  <si>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</si>
  <si>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</si>
  <si>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</si>
  <si>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</si>
  <si>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</si>
  <si>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</si>
  <si>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</si>
  <si>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</si>
  <si>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</si>
  <si>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</si>
  <si>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</si>
  <si>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</si>
  <si>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</si>
  <si>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</si>
  <si>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</si>
  <si>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</si>
  <si>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</si>
  <si>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</si>
  <si>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</si>
  <si>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</si>
  <si>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</si>
  <si>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</si>
  <si>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</si>
  <si>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</si>
  <si>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</si>
  <si>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</si>
  <si>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</si>
  <si>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</si>
  <si>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</si>
  <si>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</si>
  <si>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</si>
  <si>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</si>
  <si>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</si>
  <si>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</si>
  <si>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</si>
  <si>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</si>
  <si>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</si>
  <si>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</si>
  <si>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</si>
  <si>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</si>
  <si>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</si>
  <si>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</si>
  <si>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</si>
  <si>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</si>
  <si>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</si>
  <si>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</si>
  <si>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</si>
  <si>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</si>
  <si>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</si>
  <si>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</si>
  <si>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</si>
  <si>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</si>
  <si>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</si>
  <si>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</si>
  <si>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</si>
  <si>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</si>
  <si>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</si>
  <si>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</si>
  <si>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</si>
  <si>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</si>
  <si>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</si>
  <si>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</si>
  <si>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</si>
  <si>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</si>
  <si>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</si>
  <si>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</si>
  <si>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</si>
  <si>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</si>
  <si>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</si>
  <si>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</si>
  <si>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</si>
  <si>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</si>
  <si>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</si>
  <si>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</si>
  <si>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</si>
  <si>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</si>
  <si>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</si>
  <si>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</si>
  <si>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</si>
  <si>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</si>
  <si>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</si>
  <si>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</si>
  <si>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</si>
  <si>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</si>
  <si>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</si>
  <si>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</si>
  <si>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</si>
  <si>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</si>
  <si>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</si>
  <si>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</si>
  <si>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</si>
  <si>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</si>
  <si>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</si>
  <si>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</si>
  <si>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</si>
  <si>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</si>
  <si>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</si>
  <si>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</si>
  <si>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</si>
  <si>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</si>
  <si>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</si>
  <si>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</si>
  <si>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</si>
  <si>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</si>
  <si>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</si>
  <si>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</si>
  <si>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</si>
  <si>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</si>
  <si>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</si>
  <si>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</si>
  <si>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</si>
  <si>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</si>
  <si>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</si>
  <si>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</si>
  <si>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</si>
  <si>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</si>
  <si>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</si>
  <si>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</si>
  <si>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</si>
  <si>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</si>
  <si>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</si>
  <si>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</si>
  <si>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</si>
  <si>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</si>
  <si>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</si>
  <si>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</si>
  <si>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</si>
  <si>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</si>
  <si>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</si>
  <si>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</si>
  <si>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</si>
  <si>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</si>
  <si>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</si>
  <si>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</si>
  <si>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</si>
  <si>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</si>
  <si>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</si>
  <si>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</si>
  <si>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</si>
  <si>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</si>
  <si>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</si>
  <si>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</si>
  <si>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</si>
  <si>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</si>
  <si>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</si>
  <si>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</si>
  <si>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</si>
  <si>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</si>
  <si>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</si>
  <si>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</si>
  <si>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</si>
  <si>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</si>
  <si>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</si>
  <si>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</si>
  <si>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</si>
  <si>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</si>
  <si>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</si>
  <si>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</si>
  <si>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</si>
  <si>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</si>
  <si>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</si>
  <si>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</si>
  <si>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</si>
  <si>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</si>
  <si>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</si>
  <si>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</si>
  <si>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</si>
  <si>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</si>
  <si>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</si>
  <si>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</si>
  <si>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</si>
  <si>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</si>
  <si>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</si>
  <si>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</si>
  <si>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</si>
  <si>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</si>
  <si>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</si>
  <si>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</si>
  <si>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</si>
  <si>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</si>
  <si>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</si>
  <si>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</si>
  <si>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</si>
  <si>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</si>
  <si>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</si>
  <si>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</si>
  <si>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</si>
  <si>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</si>
  <si>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</si>
  <si>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</si>
  <si>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</si>
  <si>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</si>
  <si>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</si>
  <si>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</si>
  <si>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</si>
  <si>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</si>
  <si>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</si>
  <si>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</si>
  <si>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</si>
  <si>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</si>
  <si>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</si>
  <si>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</si>
  <si>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</si>
  <si>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</si>
  <si>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</si>
  <si>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</si>
  <si>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</si>
  <si>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</si>
  <si>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</si>
  <si>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</si>
  <si>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</si>
  <si>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</si>
  <si>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</si>
  <si>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</si>
  <si>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</si>
  <si>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</si>
  <si>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</si>
  <si>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</si>
  <si>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</si>
  <si>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</si>
  <si>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</si>
  <si>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</si>
  <si>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</si>
  <si>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</si>
  <si>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</si>
  <si>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</si>
  <si>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</si>
  <si>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</si>
  <si>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</si>
  <si>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</si>
  <si>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</si>
  <si>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</si>
  <si>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</si>
  <si>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</si>
  <si>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</si>
  <si>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</si>
  <si>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</si>
  <si>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</si>
  <si>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</si>
  <si>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</si>
  <si>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</si>
  <si>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</si>
  <si>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</si>
  <si>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</si>
  <si>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</si>
  <si>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</si>
  <si>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</si>
  <si>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</si>
  <si>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</si>
  <si>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</si>
  <si>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</si>
  <si>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</si>
  <si>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</si>
  <si>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</si>
  <si>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</si>
  <si>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</si>
  <si>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</si>
  <si>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</si>
  <si>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</si>
  <si>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</si>
  <si>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</si>
  <si>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</si>
  <si>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</si>
  <si>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</si>
  <si>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</si>
  <si>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</si>
  <si>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</si>
  <si>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</si>
  <si>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</si>
  <si>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</si>
  <si>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</si>
  <si>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</si>
  <si>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</si>
  <si>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</si>
  <si>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</si>
  <si>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</si>
  <si>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</si>
  <si>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</si>
  <si>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</si>
  <si>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</si>
  <si>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</si>
  <si>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</si>
  <si>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</si>
  <si>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</si>
  <si>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</si>
  <si>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</si>
  <si>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</si>
  <si>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</si>
  <si>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</si>
  <si>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</si>
  <si>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</si>
  <si>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</si>
  <si>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</si>
  <si>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</si>
  <si>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</si>
  <si>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</si>
  <si>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</si>
  <si>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</si>
  <si>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</si>
  <si>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</si>
  <si>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</si>
  <si>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</si>
  <si>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</si>
  <si>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</si>
  <si>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</si>
  <si>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</si>
  <si>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</si>
  <si>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</si>
  <si>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</si>
  <si>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</si>
  <si>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</si>
  <si>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</si>
  <si>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</si>
  <si>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</si>
  <si>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</si>
  <si>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</si>
  <si>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</si>
  <si>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</si>
  <si>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</si>
  <si>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</si>
  <si>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</si>
  <si>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</si>
  <si>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</si>
  <si>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</si>
  <si>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</si>
  <si>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</si>
  <si>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</si>
  <si>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</si>
  <si>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</si>
  <si>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</si>
  <si>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</si>
  <si>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</si>
  <si>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</si>
  <si>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</si>
  <si>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</si>
  <si>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</si>
  <si>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</si>
  <si>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</si>
  <si>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</si>
  <si>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</si>
  <si>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</si>
  <si>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</si>
  <si>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</si>
  <si>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</si>
  <si>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</si>
  <si>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</si>
  <si>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</si>
  <si>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</si>
  <si>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</si>
  <si>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</si>
  <si>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</si>
  <si>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</si>
  <si>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</si>
  <si>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</si>
  <si>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</si>
  <si>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</si>
  <si>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</si>
  <si>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</si>
  <si>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</si>
  <si>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</si>
  <si>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</si>
  <si>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</si>
  <si>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</si>
  <si>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</si>
  <si>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</si>
  <si>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</si>
  <si>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</si>
  <si>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</si>
  <si>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</si>
  <si>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</si>
  <si>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</si>
  <si>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</si>
  <si>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</si>
  <si>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</si>
  <si>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</si>
  <si>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</si>
  <si>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</si>
  <si>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</si>
  <si>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</si>
  <si>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</si>
  <si>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</si>
  <si>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</si>
  <si>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</si>
  <si>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</si>
  <si>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</si>
  <si>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</si>
  <si>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</si>
  <si>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</si>
  <si>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</si>
  <si>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</si>
  <si>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</si>
  <si>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</si>
  <si>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</si>
  <si>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</si>
  <si>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</si>
  <si>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</si>
  <si>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</si>
  <si>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</si>
  <si>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</si>
  <si>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</si>
  <si>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</si>
  <si>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</si>
  <si>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</si>
  <si>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</si>
  <si>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</si>
  <si>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</si>
  <si>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</si>
  <si>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</si>
  <si>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</si>
  <si>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</si>
  <si>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</si>
  <si>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</si>
  <si>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</si>
  <si>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</si>
  <si>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</si>
  <si>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</si>
  <si>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</si>
  <si>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</si>
  <si>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</si>
  <si>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</si>
  <si>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</si>
  <si>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</si>
  <si>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</si>
  <si>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</si>
  <si>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</si>
  <si>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</si>
  <si>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</si>
  <si>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</si>
  <si>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</si>
  <si>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</si>
  <si>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</si>
  <si>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</si>
  <si>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</si>
  <si>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</si>
  <si>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</si>
  <si>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</si>
  <si>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</si>
  <si>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</si>
  <si>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</si>
  <si>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</si>
  <si>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</si>
  <si>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</si>
  <si>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</si>
  <si>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</si>
  <si>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</si>
  <si>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</si>
  <si>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</si>
  <si>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</si>
  <si>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</si>
  <si>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</si>
  <si>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</si>
  <si>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</si>
  <si>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</si>
  <si>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</si>
  <si>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</si>
  <si>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</si>
  <si>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</si>
  <si>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</si>
  <si>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</si>
  <si>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</si>
  <si>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</si>
  <si>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</si>
  <si>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</si>
  <si>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</si>
  <si>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</si>
  <si>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</si>
  <si>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</si>
  <si>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</si>
  <si>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</si>
  <si>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</si>
  <si>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</si>
  <si>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</si>
  <si>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</si>
  <si>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</si>
  <si>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</si>
  <si>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</si>
  <si>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</si>
  <si>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</si>
  <si>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</si>
  <si>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</si>
  <si>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</si>
  <si>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</si>
  <si>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</si>
  <si>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</si>
  <si>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</si>
  <si>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</si>
  <si>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</si>
  <si>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</si>
  <si>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</si>
  <si>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</si>
  <si>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</si>
  <si>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</si>
  <si>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</si>
  <si>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</si>
  <si>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</si>
  <si>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</si>
  <si>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</si>
  <si>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</si>
  <si>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</si>
  <si>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</si>
  <si>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</si>
  <si>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</si>
  <si>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</si>
  <si>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</si>
  <si>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</si>
  <si>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</si>
  <si>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</si>
  <si>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</si>
  <si>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</si>
  <si>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</si>
  <si>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</si>
  <si>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</si>
  <si>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</si>
  <si>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</si>
  <si>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</si>
  <si>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</si>
  <si>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</si>
  <si>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</si>
  <si>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</si>
  <si>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</si>
  <si>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</si>
  <si>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</si>
  <si>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</si>
  <si>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</si>
  <si>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</si>
  <si>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</si>
  <si>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</si>
  <si>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</si>
  <si>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</si>
  <si>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</si>
  <si>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</si>
  <si>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</si>
  <si>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</si>
  <si>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</si>
  <si>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</si>
  <si>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</si>
  <si>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</si>
  <si>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</si>
  <si>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</si>
  <si>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</si>
  <si>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</si>
  <si>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</si>
  <si>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</si>
  <si>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</si>
  <si>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</si>
  <si>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</si>
  <si>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</si>
  <si>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</si>
  <si>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</si>
  <si>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</si>
  <si>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</si>
  <si>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</si>
  <si>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</si>
  <si>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</si>
  <si>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</si>
  <si>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</si>
  <si>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</si>
  <si>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</si>
  <si>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</si>
  <si>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</si>
  <si>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</si>
  <si>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</si>
  <si>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</si>
  <si>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</si>
  <si>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</si>
  <si>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</si>
  <si>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</si>
  <si>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</si>
  <si>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</si>
  <si>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</si>
  <si>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</si>
  <si>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</si>
  <si>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</si>
  <si>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</si>
  <si>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</si>
  <si>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</si>
  <si>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</si>
  <si>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</si>
  <si>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</si>
  <si>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</si>
  <si>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</si>
  <si>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</si>
  <si>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</si>
  <si>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</si>
  <si>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</si>
  <si>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</si>
  <si>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</si>
  <si>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</si>
  <si>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</si>
  <si>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</si>
  <si>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</si>
  <si>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</si>
  <si>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</si>
  <si>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</si>
  <si>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</si>
  <si>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</si>
  <si>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</si>
  <si>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</si>
  <si>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</si>
  <si>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</si>
  <si>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</si>
  <si>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</si>
  <si>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</si>
  <si>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</si>
  <si>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</si>
  <si>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</si>
  <si>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</si>
  <si>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</si>
  <si>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</si>
  <si>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</si>
  <si>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</si>
  <si>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</si>
  <si>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</si>
  <si>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</si>
  <si>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</si>
  <si>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</si>
  <si>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</si>
  <si>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</si>
  <si>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</si>
  <si>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</si>
  <si>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</si>
  <si>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</si>
  <si>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</si>
  <si>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</si>
  <si>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</si>
  <si>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</si>
  <si>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</si>
  <si>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</si>
  <si>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</si>
  <si>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</si>
  <si>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</si>
  <si>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</si>
  <si>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</si>
  <si>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</si>
  <si>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</si>
  <si>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</si>
  <si>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</si>
  <si>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</si>
  <si>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</si>
  <si>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</si>
  <si>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</si>
  <si>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</si>
  <si>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</si>
  <si>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</si>
  <si>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</si>
  <si>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</si>
  <si>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</si>
  <si>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</si>
  <si>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</si>
  <si>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</si>
  <si>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</si>
  <si>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</si>
  <si>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</si>
  <si>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</si>
  <si>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</si>
  <si>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</si>
  <si>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</si>
  <si>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</si>
  <si>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</si>
  <si>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</si>
  <si>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</si>
  <si>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</si>
  <si>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</si>
  <si>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</si>
  <si>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</si>
  <si>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</si>
  <si>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</si>
  <si>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</si>
  <si>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</si>
  <si>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</si>
  <si>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</si>
  <si>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</si>
  <si>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</si>
  <si>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</si>
  <si>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</si>
  <si>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</si>
  <si>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</si>
  <si>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</si>
  <si>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</si>
  <si>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</si>
  <si>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</si>
  <si>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</si>
  <si>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</si>
  <si>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</si>
  <si>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</si>
  <si>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</si>
  <si>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</si>
  <si>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</si>
  <si>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</si>
  <si>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</si>
  <si>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</si>
  <si>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</si>
  <si>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</si>
  <si>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</si>
  <si>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</si>
  <si>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</si>
  <si>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</si>
  <si>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</si>
  <si>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</si>
  <si>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</si>
  <si>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</si>
  <si>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</si>
  <si>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</si>
  <si>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</si>
  <si>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</si>
  <si>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</si>
  <si>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</si>
  <si>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</si>
  <si>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</si>
  <si>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</si>
  <si>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</si>
  <si>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</si>
  <si>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</si>
  <si>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</si>
  <si>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</si>
  <si>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</si>
  <si>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</si>
  <si>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</si>
  <si>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</si>
  <si>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</si>
  <si>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</si>
  <si>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</si>
  <si>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</si>
  <si>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</si>
  <si>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</si>
  <si>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</si>
  <si>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</si>
  <si>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</si>
  <si>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</si>
  <si>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</si>
  <si>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</si>
  <si>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</si>
  <si>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</si>
  <si>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</si>
  <si>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</si>
  <si>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</si>
  <si>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</si>
  <si>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</si>
  <si>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</si>
  <si>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</si>
  <si>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</si>
  <si>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</si>
  <si>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</si>
  <si>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</si>
  <si>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</si>
  <si>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</si>
  <si>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</si>
  <si>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</si>
  <si>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</si>
  <si>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</si>
  <si>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</si>
  <si>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</si>
  <si>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</si>
  <si>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</si>
  <si>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</si>
  <si>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</si>
  <si>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</si>
  <si>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</si>
  <si>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</si>
  <si>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</si>
  <si>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</si>
  <si>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</si>
  <si>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</si>
  <si>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</si>
  <si>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</si>
  <si>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</si>
  <si>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</si>
  <si>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</si>
  <si>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</si>
  <si>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</si>
  <si>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</si>
  <si>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</si>
  <si>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</si>
  <si>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</si>
  <si>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</si>
  <si>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</si>
  <si>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</si>
  <si>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</si>
  <si>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</si>
  <si>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</si>
  <si>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</si>
  <si>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</si>
  <si>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</si>
  <si>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</si>
  <si>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</si>
  <si>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</si>
  <si>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</si>
  <si>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</si>
  <si>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</si>
  <si>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</si>
  <si>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</si>
  <si>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</si>
  <si>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</si>
  <si>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</si>
  <si>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</si>
  <si>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</si>
  <si>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</si>
  <si>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</si>
  <si>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</si>
  <si>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</si>
  <si>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</si>
  <si>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</si>
  <si>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</si>
  <si>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</si>
  <si>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</si>
  <si>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</si>
  <si>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</si>
  <si>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</si>
  <si>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</si>
  <si>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</si>
  <si>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</si>
  <si>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</si>
  <si>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</si>
  <si>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</si>
  <si>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</si>
  <si>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</si>
  <si>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</si>
  <si>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</si>
  <si>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</si>
  <si>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</si>
  <si>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</si>
  <si>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</si>
  <si>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</si>
  <si>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</si>
  <si>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</si>
  <si>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</si>
  <si>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</si>
  <si>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</si>
  <si>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</si>
  <si>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</si>
  <si>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</si>
  <si>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</si>
  <si>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</si>
  <si>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</si>
  <si>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</si>
  <si>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</si>
  <si>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</si>
  <si>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</si>
  <si>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</si>
  <si>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</si>
  <si>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</si>
  <si>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</si>
  <si>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</si>
  <si>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</si>
  <si>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</si>
  <si>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</si>
  <si>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</si>
  <si>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</si>
  <si>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</si>
  <si>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</si>
  <si>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</si>
  <si>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</si>
  <si>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</si>
  <si>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</si>
  <si>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</si>
  <si>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</si>
  <si>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</si>
  <si>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</si>
  <si>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</si>
  <si>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</si>
  <si>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</si>
  <si>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</si>
  <si>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</si>
  <si>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</si>
  <si>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</si>
  <si>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</si>
  <si>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</si>
  <si>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</si>
  <si>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</si>
  <si>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</si>
  <si>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</si>
  <si>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</si>
  <si>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</si>
  <si>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</si>
  <si>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</si>
  <si>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</si>
  <si>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</si>
  <si>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</si>
  <si>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</si>
  <si>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</si>
  <si>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</si>
  <si>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</si>
  <si>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</si>
  <si>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</si>
  <si>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</si>
  <si>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</si>
  <si>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</si>
  <si>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</si>
  <si>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</si>
  <si>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</si>
  <si>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</si>
  <si>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</si>
  <si>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</si>
  <si>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</si>
  <si>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</si>
  <si>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</si>
  <si>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</si>
  <si>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</si>
  <si>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</si>
  <si>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</si>
  <si>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</si>
  <si>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</si>
  <si>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</si>
  <si>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</si>
  <si>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</si>
  <si>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</si>
  <si>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</si>
  <si>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</si>
  <si>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</si>
  <si>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</si>
  <si>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</si>
  <si>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</si>
  <si>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</si>
  <si>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</si>
  <si>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</si>
  <si>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</si>
  <si>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</si>
  <si>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</si>
  <si>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</si>
  <si>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</si>
  <si>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</si>
  <si>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</si>
  <si>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</si>
  <si>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</si>
  <si>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</si>
  <si>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</si>
  <si>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</si>
  <si>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</si>
  <si>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</si>
  <si>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</si>
  <si>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</si>
  <si>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</si>
  <si>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</si>
  <si>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</si>
  <si>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</si>
  <si>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</si>
  <si>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</si>
  <si>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</si>
  <si>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</si>
  <si>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</si>
  <si>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</si>
  <si>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</si>
  <si>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</si>
  <si>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</si>
  <si>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</si>
  <si>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</si>
  <si>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</si>
  <si>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</si>
  <si>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</si>
  <si>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</si>
  <si>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</si>
  <si>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</si>
  <si>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</si>
  <si>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</si>
  <si>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</si>
  <si>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</si>
  <si>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</si>
  <si>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</si>
  <si>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</si>
  <si>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</si>
  <si>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</si>
  <si>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</si>
  <si>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</si>
  <si>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</si>
  <si>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</si>
  <si>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</si>
  <si>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</si>
  <si>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</si>
  <si>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</si>
  <si>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</si>
  <si>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</si>
  <si>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</si>
  <si>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</si>
  <si>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</si>
  <si>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</si>
  <si>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</si>
  <si>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</si>
  <si>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</si>
  <si>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</si>
  <si>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</si>
  <si>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</si>
  <si>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</si>
  <si>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</si>
  <si>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</si>
  <si>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</si>
  <si>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</si>
  <si>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</si>
  <si>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</si>
  <si>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</si>
  <si>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</si>
  <si>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</si>
  <si>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</si>
  <si>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</si>
  <si>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</si>
  <si>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</si>
  <si>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</si>
  <si>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</si>
  <si>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</si>
  <si>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</si>
  <si>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</si>
  <si>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</si>
  <si>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</si>
  <si>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</si>
  <si>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</si>
  <si>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</si>
  <si>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</si>
  <si>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</si>
  <si>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</si>
  <si>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</si>
  <si>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</si>
  <si>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</si>
  <si>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</si>
  <si>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</si>
  <si>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</si>
  <si>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</si>
  <si>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</si>
  <si>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</si>
  <si>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</si>
  <si>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</si>
  <si>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</si>
  <si>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</si>
  <si>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</si>
  <si>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</si>
  <si>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</si>
  <si>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</si>
  <si>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</si>
  <si>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</si>
  <si>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</si>
  <si>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</si>
  <si>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</si>
  <si>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</si>
  <si>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</si>
  <si>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</si>
  <si>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</si>
  <si>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</si>
  <si>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</si>
  <si>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</si>
  <si>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</si>
  <si>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</si>
  <si>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</si>
  <si>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</si>
  <si>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</si>
  <si>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</si>
  <si>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</si>
  <si>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</si>
  <si>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</si>
  <si>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</si>
  <si>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</si>
  <si>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</si>
  <si>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</si>
  <si>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</si>
  <si>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</si>
  <si>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</si>
  <si>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</si>
  <si>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</si>
  <si>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</si>
  <si>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</si>
  <si>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</si>
  <si>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</si>
  <si>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</si>
  <si>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</si>
  <si>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</si>
  <si>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</si>
  <si>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</si>
  <si>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</si>
  <si>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</si>
  <si>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</si>
  <si>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</si>
  <si>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</si>
  <si>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</si>
  <si>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</si>
  <si>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</si>
  <si>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</si>
  <si>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</si>
  <si>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</si>
  <si>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</si>
  <si>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</si>
  <si>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</si>
  <si>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</si>
  <si>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</si>
  <si>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</si>
  <si>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</si>
  <si>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</si>
  <si>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</si>
  <si>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</si>
  <si>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</si>
  <si>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</si>
  <si>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</si>
  <si>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</si>
  <si>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</si>
  <si>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</si>
  <si>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</si>
  <si>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</si>
  <si>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</si>
  <si>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</si>
  <si>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</si>
  <si>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</si>
  <si>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</si>
  <si>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</si>
  <si>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</si>
  <si>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</si>
  <si>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</si>
  <si>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</si>
  <si>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</si>
  <si>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</si>
  <si>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</si>
  <si>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</si>
  <si>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</si>
  <si>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</si>
  <si>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</si>
  <si>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</si>
  <si>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</si>
  <si>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</si>
  <si>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</si>
  <si>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</si>
  <si>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</si>
  <si>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</si>
  <si>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</si>
  <si>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</si>
  <si>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</si>
  <si>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</si>
  <si>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</si>
  <si>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</si>
  <si>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</si>
  <si>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</si>
  <si>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</si>
  <si>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</si>
  <si>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</si>
  <si>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</si>
  <si>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</si>
  <si>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</si>
  <si>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</si>
  <si>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</si>
  <si>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</si>
  <si>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</si>
  <si>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</si>
  <si>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</si>
  <si>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</si>
  <si>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</si>
  <si>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</si>
  <si>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</si>
  <si>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</si>
  <si>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</si>
  <si>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</si>
  <si>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</si>
  <si>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</si>
  <si>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</si>
  <si>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</si>
  <si>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</si>
  <si>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</si>
  <si>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</si>
  <si>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</si>
  <si>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</si>
  <si>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</si>
  <si>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</si>
  <si>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</si>
  <si>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</si>
  <si>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</si>
  <si>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</si>
  <si>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</si>
  <si>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</si>
  <si>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</si>
  <si>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</si>
  <si>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</si>
  <si>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</si>
  <si>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</si>
  <si>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</si>
  <si>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</si>
  <si>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</si>
  <si>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</si>
  <si>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</si>
  <si>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</si>
  <si>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</si>
  <si>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</si>
  <si>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</si>
  <si>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</si>
  <si>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</si>
  <si>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</si>
  <si>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</si>
  <si>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</si>
  <si>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</si>
  <si>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</si>
  <si>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</si>
  <si>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</si>
  <si>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</si>
  <si>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</si>
  <si>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</si>
  <si>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</si>
  <si>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</si>
  <si>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</si>
  <si>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</si>
  <si>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</si>
  <si>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</si>
  <si>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</si>
  <si>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</si>
  <si>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</si>
  <si>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</si>
  <si>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</si>
  <si>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</si>
  <si>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</si>
  <si>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</si>
  <si>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</si>
  <si>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</si>
  <si>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</si>
  <si>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</si>
  <si>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</si>
  <si>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</si>
  <si>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</si>
  <si>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</si>
  <si>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</si>
  <si>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</si>
  <si>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</si>
  <si>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</si>
  <si>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</si>
  <si>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</si>
  <si>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</si>
  <si>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</si>
  <si>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</si>
  <si>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</si>
  <si>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</si>
  <si>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</si>
  <si>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</si>
  <si>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</si>
  <si>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</si>
  <si>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</si>
  <si>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</si>
  <si>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</si>
  <si>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</si>
  <si>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</si>
  <si>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</si>
  <si>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</si>
  <si>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</si>
  <si>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</si>
  <si>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</si>
  <si>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</si>
  <si>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</si>
  <si>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</si>
  <si>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</si>
  <si>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</si>
  <si>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</si>
  <si>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</si>
  <si>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</si>
  <si>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</si>
  <si>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</si>
  <si>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</si>
  <si>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</si>
  <si>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</si>
  <si>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</si>
  <si>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</si>
  <si>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</si>
  <si>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</si>
  <si>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</si>
  <si>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</si>
  <si>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</si>
  <si>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</si>
  <si>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</si>
  <si>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</si>
  <si>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</si>
  <si>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</si>
  <si>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</si>
  <si>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</si>
  <si>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</si>
  <si>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</si>
  <si>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</si>
  <si>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</si>
  <si>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</si>
  <si>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</si>
  <si>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</si>
  <si>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</si>
  <si>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</si>
  <si>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</si>
  <si>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</si>
  <si>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</si>
  <si>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</si>
  <si>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</si>
  <si>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</si>
  <si>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</si>
  <si>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</si>
  <si>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</si>
  <si>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</si>
  <si>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</si>
  <si>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</si>
  <si>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</si>
  <si>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</si>
  <si>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</si>
  <si>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</si>
  <si>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</si>
  <si>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</si>
  <si>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</si>
  <si>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</si>
  <si>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</si>
  <si>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</si>
  <si>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</si>
  <si>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</si>
  <si>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</si>
  <si>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</si>
  <si>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</si>
  <si>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</si>
  <si>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</si>
  <si>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</si>
  <si>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</si>
  <si>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</si>
  <si>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</si>
  <si>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</si>
  <si>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</si>
  <si>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</si>
  <si>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</si>
  <si>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</si>
  <si>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</si>
  <si>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</si>
  <si>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</si>
  <si>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</si>
  <si>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</si>
  <si>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</si>
  <si>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</si>
  <si>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</si>
  <si>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</si>
  <si>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</si>
  <si>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</si>
  <si>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</si>
  <si>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</si>
  <si>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</si>
  <si>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</si>
  <si>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</si>
  <si>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</si>
  <si>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</si>
  <si>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</si>
  <si>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</si>
  <si>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</si>
  <si>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</si>
  <si>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</si>
  <si>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</si>
  <si>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</si>
  <si>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</si>
  <si>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</si>
  <si>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</si>
  <si>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</si>
  <si>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</si>
  <si>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</si>
  <si>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</si>
  <si>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</si>
  <si>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</si>
  <si>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</si>
  <si>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</si>
  <si>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</si>
  <si>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</si>
  <si>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</si>
  <si>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</si>
  <si>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</si>
  <si>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</si>
  <si>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</si>
  <si>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</si>
  <si>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</si>
  <si>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</si>
  <si>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</si>
  <si>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</si>
  <si>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</si>
  <si>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</si>
  <si>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</si>
  <si>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</si>
  <si>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</si>
  <si>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</si>
  <si>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</si>
  <si>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</si>
  <si>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</si>
  <si>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</si>
  <si>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</si>
  <si>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</si>
  <si>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</si>
  <si>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</si>
  <si>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</si>
  <si>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</si>
  <si>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</si>
  <si>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</si>
  <si>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</si>
  <si>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</si>
  <si>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</si>
  <si>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</si>
  <si>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</si>
  <si>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</si>
  <si>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</si>
  <si>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</si>
  <si>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</si>
  <si>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</si>
  <si>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</si>
  <si>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</si>
  <si>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</si>
  <si>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</si>
  <si>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</si>
  <si>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</si>
  <si>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</si>
  <si>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</si>
  <si>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</si>
  <si>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</si>
  <si>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</si>
  <si>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</si>
  <si>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</si>
  <si>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</si>
  <si>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</si>
  <si>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</si>
  <si>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</si>
  <si>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</si>
  <si>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</si>
  <si>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</si>
  <si>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</si>
  <si>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</si>
  <si>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</si>
  <si>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</si>
  <si>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</si>
  <si>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</si>
  <si>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</si>
  <si>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</si>
  <si>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</si>
  <si>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</si>
  <si>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</si>
  <si>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</si>
  <si>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</si>
  <si>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</si>
  <si>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</si>
  <si>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</si>
  <si>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</si>
  <si>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</si>
  <si>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</si>
  <si>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</si>
  <si>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</si>
  <si>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</si>
  <si>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</si>
  <si>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</si>
  <si>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</si>
  <si>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</si>
  <si>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</si>
  <si>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</si>
  <si>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</si>
  <si>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</si>
  <si>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</si>
  <si>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</si>
  <si>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</si>
  <si>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</si>
  <si>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</si>
  <si>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</si>
  <si>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</si>
  <si>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</si>
  <si>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</si>
  <si>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</si>
  <si>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</si>
  <si>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</si>
  <si>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</si>
  <si>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</si>
  <si>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</si>
  <si>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</si>
  <si>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</si>
  <si>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</si>
  <si>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</si>
  <si>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</si>
  <si>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</si>
  <si>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</si>
  <si>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</si>
  <si>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</si>
  <si>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</si>
  <si>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</si>
  <si>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</si>
  <si>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</si>
  <si>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</si>
  <si>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</si>
  <si>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</si>
  <si>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</si>
  <si>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</si>
  <si>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</si>
  <si>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</si>
  <si>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</si>
  <si>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</si>
  <si>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</si>
  <si>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</si>
  <si>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</si>
  <si>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</si>
  <si>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</si>
  <si>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</si>
  <si>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</si>
  <si>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</si>
  <si>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</si>
  <si>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</si>
  <si>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</si>
  <si>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</si>
  <si>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</si>
  <si>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</si>
  <si>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</si>
  <si>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</si>
  <si>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</si>
  <si>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</si>
  <si>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</si>
  <si>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</si>
  <si>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</si>
  <si>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</si>
  <si>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</si>
  <si>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</si>
  <si>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</si>
  <si>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</si>
  <si>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</si>
  <si>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</si>
  <si>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</si>
  <si>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</si>
  <si>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</si>
  <si>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</si>
  <si>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</si>
  <si>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</si>
  <si>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</si>
  <si>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</si>
  <si>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</si>
  <si>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</si>
  <si>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</si>
  <si>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</si>
  <si>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</si>
  <si>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</si>
  <si>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</si>
  <si>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</si>
  <si>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</si>
  <si>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</si>
  <si>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</si>
  <si>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</si>
  <si>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</si>
  <si>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</si>
  <si>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</si>
  <si>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</si>
  <si>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</si>
  <si>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</si>
  <si>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</si>
  <si>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</si>
  <si>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</si>
  <si>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</si>
  <si>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</si>
  <si>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</si>
  <si>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</si>
  <si>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</si>
  <si>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</si>
  <si>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</si>
  <si>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</si>
  <si>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</si>
  <si>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</si>
  <si>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</si>
  <si>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</si>
  <si>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</si>
  <si>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</si>
  <si>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</si>
  <si>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</si>
  <si>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</si>
  <si>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</si>
  <si>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</si>
  <si>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</si>
  <si>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</si>
  <si>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</si>
  <si>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</si>
  <si>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</si>
  <si>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</si>
  <si>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</si>
  <si>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</si>
  <si>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</si>
  <si>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</si>
  <si>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</si>
  <si>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</si>
  <si>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</si>
  <si>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</si>
  <si>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</si>
  <si>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</si>
  <si>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</si>
  <si>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</si>
  <si>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</si>
  <si>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</si>
  <si>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</si>
  <si>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</si>
  <si>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</si>
  <si>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</si>
  <si>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</si>
  <si>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</si>
  <si>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</si>
  <si>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</si>
  <si>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</si>
  <si>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</si>
  <si>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</si>
  <si>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</si>
  <si>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</si>
  <si>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</si>
  <si>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</si>
  <si>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</si>
  <si>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</si>
  <si>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</si>
  <si>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</si>
  <si>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</si>
  <si>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</si>
  <si>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</si>
  <si>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</si>
  <si>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</si>
  <si>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</si>
  <si>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</si>
  <si>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</si>
  <si>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</si>
  <si>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</si>
  <si>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</si>
  <si>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</si>
  <si>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</si>
  <si>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</si>
  <si>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</si>
  <si>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</si>
  <si>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</si>
  <si>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</si>
  <si>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</si>
  <si>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</si>
  <si>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</si>
  <si>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</si>
  <si>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</si>
  <si>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</si>
  <si>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</si>
  <si>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</si>
  <si>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</si>
  <si>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</si>
  <si>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</si>
  <si>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</si>
  <si>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</si>
  <si>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</si>
  <si>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</si>
  <si>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</si>
  <si>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</si>
  <si>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</si>
  <si>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</si>
  <si>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</si>
  <si>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</si>
  <si>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</si>
  <si>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</si>
  <si>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</si>
  <si>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</si>
  <si>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</si>
  <si>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</si>
  <si>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</si>
  <si>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</si>
  <si>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</si>
  <si>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</si>
  <si>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</si>
  <si>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</si>
  <si>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</si>
  <si>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</si>
  <si>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</si>
  <si>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</si>
  <si>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</si>
  <si>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</si>
  <si>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</si>
  <si>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</si>
  <si>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</si>
  <si>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</si>
  <si>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</si>
  <si>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</si>
  <si>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</si>
  <si>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</si>
  <si>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</si>
  <si>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</si>
  <si>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</si>
  <si>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</si>
  <si>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</si>
  <si>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</si>
  <si>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</si>
  <si>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</si>
  <si>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</si>
  <si>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</si>
  <si>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</si>
  <si>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</si>
  <si>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</si>
  <si>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</si>
  <si>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</si>
  <si>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</si>
  <si>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</si>
  <si>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</si>
  <si>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</si>
  <si>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</si>
  <si>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</si>
  <si>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</si>
  <si>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</si>
  <si>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</si>
  <si>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</si>
  <si>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</si>
  <si>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</si>
  <si>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</si>
  <si>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</si>
  <si>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</si>
  <si>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</si>
  <si>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</si>
  <si>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</si>
  <si>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</si>
  <si>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</si>
  <si>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</si>
  <si>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</si>
  <si>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</si>
  <si>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</si>
  <si>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</si>
  <si>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</si>
  <si>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</si>
  <si>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</si>
  <si>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</si>
  <si>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</si>
  <si>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</si>
  <si>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</si>
  <si>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</si>
  <si>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</si>
  <si>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</si>
  <si>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</si>
  <si>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</si>
  <si>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</si>
  <si>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</si>
  <si>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</si>
  <si>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</si>
  <si>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</si>
  <si>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</si>
  <si>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</si>
  <si>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</si>
  <si>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</si>
  <si>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</si>
  <si>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</si>
  <si>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</si>
  <si>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</si>
  <si>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</si>
  <si>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</si>
  <si>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</si>
  <si>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</si>
  <si>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</si>
  <si>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</si>
  <si>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</si>
  <si>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</si>
  <si>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</si>
  <si>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</si>
  <si>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</si>
  <si>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</si>
  <si>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</si>
  <si>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</si>
  <si>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</si>
  <si>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</si>
  <si>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</si>
  <si>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</si>
  <si>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</si>
  <si>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</si>
  <si>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</si>
  <si>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</si>
  <si>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</si>
  <si>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</si>
  <si>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</si>
  <si>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</si>
  <si>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</si>
  <si>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</si>
  <si>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</si>
  <si>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</si>
  <si>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</si>
  <si>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</si>
  <si>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</si>
  <si>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</si>
  <si>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</si>
  <si>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</si>
  <si>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</si>
  <si>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</si>
  <si>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</si>
  <si>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</si>
  <si>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</si>
  <si>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</si>
  <si>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</si>
  <si>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</si>
  <si>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</si>
  <si>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</si>
  <si>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</si>
  <si>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</si>
  <si>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</si>
  <si>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</si>
  <si>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</si>
  <si>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</si>
  <si>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</si>
  <si>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</si>
  <si>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</si>
  <si>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</si>
  <si>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</si>
  <si>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</si>
  <si>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</si>
  <si>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</si>
  <si>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</si>
  <si>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</si>
  <si>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</si>
  <si>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</si>
  <si>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</si>
  <si>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</si>
  <si>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</si>
  <si>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</si>
  <si>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</si>
  <si>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</si>
  <si>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</si>
  <si>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</si>
  <si>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</si>
  <si>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</si>
  <si>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</si>
  <si>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</si>
  <si>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</si>
  <si>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</si>
  <si>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</si>
  <si>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</si>
  <si>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</si>
  <si>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</si>
  <si>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</si>
  <si>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</si>
  <si>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</si>
  <si>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</si>
  <si>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</si>
  <si>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</si>
  <si>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</si>
  <si>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</si>
  <si>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</si>
  <si>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</si>
  <si>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</si>
  <si>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</si>
  <si>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</si>
  <si>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</si>
  <si>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</si>
  <si>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</si>
  <si>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</si>
  <si>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</si>
  <si>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</si>
  <si>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</si>
  <si>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</si>
  <si>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</si>
  <si>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</si>
  <si>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</si>
  <si>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</si>
  <si>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</si>
  <si>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</si>
  <si>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</si>
  <si>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</si>
  <si>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</si>
  <si>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</si>
  <si>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</si>
  <si>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</si>
  <si>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</si>
  <si>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</si>
  <si>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</si>
  <si>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</si>
  <si>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</si>
  <si>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</si>
  <si>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</si>
  <si>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</si>
  <si>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</si>
  <si>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</si>
  <si>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</si>
  <si>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</si>
  <si>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</si>
  <si>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</si>
  <si>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</si>
  <si>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</si>
  <si>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</si>
  <si>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</si>
  <si>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</si>
  <si>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</si>
  <si>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</si>
  <si>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</si>
  <si>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</si>
  <si>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</si>
  <si>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</si>
  <si>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</si>
  <si>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</si>
  <si>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</si>
  <si>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</si>
  <si>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</si>
  <si>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</si>
  <si>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</si>
  <si>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</si>
  <si>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</si>
  <si>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</si>
  <si>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</si>
  <si>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</si>
  <si>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</si>
  <si>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</si>
  <si>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</si>
  <si>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</si>
  <si>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</si>
  <si>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</si>
  <si>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</si>
  <si>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</si>
  <si>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</si>
  <si>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</si>
  <si>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</si>
  <si>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</si>
  <si>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</si>
  <si>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</si>
  <si>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</si>
  <si>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</si>
  <si>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</si>
  <si>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</si>
  <si>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</si>
  <si>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</si>
  <si>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</si>
  <si>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</si>
  <si>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</si>
  <si>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</si>
  <si>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</si>
  <si>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</si>
  <si>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</si>
  <si>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</si>
  <si>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</si>
  <si>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</si>
  <si>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</si>
  <si>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</si>
  <si>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</si>
  <si>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</si>
  <si>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</si>
  <si>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</si>
  <si>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</si>
  <si>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</si>
  <si>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</si>
  <si>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</si>
  <si>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</si>
  <si>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</si>
  <si>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</si>
  <si>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</si>
  <si>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</si>
  <si>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</si>
  <si>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</si>
  <si>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</si>
  <si>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</si>
  <si>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</si>
  <si>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</si>
  <si>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</si>
  <si>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</si>
  <si>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</si>
  <si>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</si>
  <si>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</si>
  <si>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</si>
  <si>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</si>
  <si>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</si>
  <si>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</si>
  <si>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</si>
  <si>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</si>
  <si>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</si>
  <si>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</si>
  <si>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</si>
  <si>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</si>
  <si>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</si>
  <si>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</si>
  <si>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</si>
  <si>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</si>
  <si>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</si>
  <si>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</si>
  <si>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</si>
  <si>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</si>
  <si>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</si>
  <si>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</si>
  <si>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</si>
  <si>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</si>
  <si>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</si>
  <si>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</si>
  <si>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</si>
  <si>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</si>
  <si>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</si>
  <si>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</si>
  <si>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</si>
  <si>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</si>
  <si>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</si>
  <si>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</si>
  <si>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</si>
  <si>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</si>
  <si>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</si>
  <si>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</si>
  <si>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</si>
  <si>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</si>
  <si>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</si>
  <si>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</si>
  <si>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</si>
  <si>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</si>
  <si>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</si>
  <si>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</si>
  <si>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</si>
  <si>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</si>
  <si>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</si>
  <si>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</si>
  <si>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</si>
  <si>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</si>
  <si>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</si>
  <si>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</si>
  <si>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</si>
  <si>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</si>
  <si>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</si>
  <si>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</si>
  <si>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</si>
  <si>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</si>
  <si>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</si>
  <si>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</si>
  <si>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</si>
  <si>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</si>
  <si>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</si>
  <si>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</si>
  <si>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</si>
  <si>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</si>
  <si>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</si>
  <si>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</si>
  <si>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</si>
  <si>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</si>
  <si>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</si>
  <si>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</si>
  <si>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</si>
  <si>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</si>
  <si>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</si>
  <si>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</si>
  <si>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</si>
  <si>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</si>
  <si>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</si>
  <si>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</si>
  <si>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</si>
  <si>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</si>
  <si>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</si>
  <si>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</si>
  <si>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</si>
  <si>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</si>
  <si>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</si>
  <si>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</si>
  <si>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</si>
  <si>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</si>
  <si>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</si>
  <si>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</si>
  <si>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</si>
  <si>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</si>
  <si>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</si>
  <si>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</si>
  <si>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</si>
  <si>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</si>
  <si>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</si>
  <si>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</si>
  <si>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</si>
  <si>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</si>
  <si>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</si>
  <si>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</si>
  <si>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</si>
  <si>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</si>
  <si>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</si>
  <si>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</si>
  <si>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</si>
  <si>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</si>
  <si>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</si>
  <si>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</si>
  <si>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</si>
  <si>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</si>
  <si>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</si>
  <si>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</si>
  <si>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</si>
  <si>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</si>
  <si>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</si>
  <si>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</si>
  <si>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</si>
  <si>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</si>
  <si>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</si>
  <si>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</si>
  <si>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</si>
  <si>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</si>
  <si>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</si>
  <si>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</si>
  <si>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</si>
  <si>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</si>
  <si>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</si>
  <si>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</si>
  <si>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</si>
  <si>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</si>
  <si>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</si>
  <si>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</si>
  <si>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</si>
  <si>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</si>
  <si>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</si>
  <si>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</si>
  <si>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</si>
  <si>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</si>
  <si>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</si>
  <si>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</si>
  <si>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</si>
  <si>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</si>
  <si>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</si>
  <si>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</si>
  <si>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</si>
  <si>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</si>
  <si>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</si>
  <si>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</si>
  <si>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</si>
  <si>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</si>
  <si>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</si>
  <si>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</si>
  <si>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</si>
  <si>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</si>
  <si>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</si>
  <si>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</si>
  <si>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</si>
  <si>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</si>
  <si>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</si>
  <si>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</si>
  <si>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</si>
  <si>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</si>
  <si>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</si>
  <si>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</si>
  <si>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</si>
  <si>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</si>
  <si>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</si>
  <si>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</si>
  <si>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</si>
  <si>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</si>
  <si>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</si>
  <si>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</si>
  <si>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</si>
  <si>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</si>
  <si>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</si>
  <si>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</si>
  <si>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</si>
  <si>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</si>
  <si>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</si>
  <si>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</si>
  <si>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</si>
  <si>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</si>
  <si>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</si>
  <si>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</si>
  <si>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</si>
  <si>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</si>
  <si>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</si>
  <si>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</si>
  <si>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</si>
  <si>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</si>
  <si>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</si>
  <si>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</si>
  <si>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</si>
  <si>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</si>
  <si>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</si>
  <si>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</si>
  <si>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</si>
  <si>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</si>
  <si>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</si>
  <si>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</si>
  <si>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</si>
  <si>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</si>
  <si>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</si>
  <si>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</si>
  <si>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</si>
  <si>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</si>
  <si>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</si>
  <si>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</si>
  <si>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</si>
  <si>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</si>
  <si>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</si>
  <si>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</si>
  <si>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</si>
  <si>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</si>
  <si>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</si>
  <si>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</si>
  <si>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</si>
  <si>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</si>
  <si>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</si>
  <si>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</si>
  <si>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</si>
  <si>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</si>
  <si>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</si>
  <si>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</si>
  <si>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</si>
  <si>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</si>
  <si>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</si>
  <si>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</si>
  <si>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</si>
  <si>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</si>
  <si>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</si>
  <si>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</si>
  <si>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</si>
  <si>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</si>
  <si>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</si>
  <si>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</si>
  <si>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</si>
  <si>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</si>
  <si>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</si>
  <si>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</si>
  <si>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</si>
  <si>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</si>
  <si>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</si>
  <si>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</si>
  <si>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</si>
  <si>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</si>
  <si>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</si>
  <si>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</si>
  <si>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</si>
  <si>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</si>
  <si>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</si>
  <si>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</si>
  <si>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</si>
  <si>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</si>
  <si>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</si>
  <si>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</si>
  <si>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</si>
  <si>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</si>
  <si>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</si>
  <si>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</si>
  <si>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</si>
  <si>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</si>
  <si>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</si>
  <si>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</si>
  <si>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</si>
  <si>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</si>
  <si>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</si>
  <si>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</si>
  <si>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</si>
  <si>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</si>
  <si>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</si>
  <si>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</si>
  <si>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</si>
  <si>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</si>
  <si>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</si>
  <si>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</si>
  <si>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</si>
  <si>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</si>
  <si>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</si>
  <si>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</si>
  <si>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</si>
  <si>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</si>
  <si>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</si>
  <si>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</si>
  <si>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</si>
  <si>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</si>
  <si>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</si>
  <si>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</si>
  <si>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</si>
  <si>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</si>
  <si>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</si>
  <si>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</si>
  <si>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</si>
  <si>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</si>
  <si>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</si>
  <si>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</si>
  <si>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</si>
  <si>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</si>
  <si>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</si>
  <si>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</si>
  <si>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</si>
  <si>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</si>
  <si>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</si>
  <si>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</si>
  <si>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</si>
  <si>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</si>
  <si>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</si>
  <si>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</si>
  <si>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</si>
  <si>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</si>
  <si>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</si>
  <si>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</si>
  <si>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</si>
  <si>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</si>
  <si>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</si>
  <si>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</si>
  <si>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</si>
  <si>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</si>
  <si>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</si>
  <si>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</si>
  <si>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</si>
  <si>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</si>
  <si>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</si>
  <si>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</si>
  <si>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</si>
  <si>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</si>
  <si>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</si>
  <si>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</si>
  <si>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</si>
  <si>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</si>
  <si>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</si>
  <si>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</si>
  <si>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</si>
  <si>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</si>
  <si>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</si>
  <si>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</si>
  <si>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</si>
  <si>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</si>
  <si>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</si>
  <si>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</si>
  <si>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</si>
  <si>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</si>
  <si>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</si>
  <si>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</si>
  <si>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</si>
  <si>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</si>
  <si>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</si>
  <si>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</si>
  <si>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</si>
  <si>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</si>
  <si>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</si>
  <si>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</si>
  <si>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</si>
  <si>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</si>
  <si>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</si>
  <si>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</si>
  <si>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</si>
  <si>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</si>
  <si>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</si>
  <si>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</si>
  <si>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</si>
  <si>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</si>
  <si>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</si>
  <si>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</si>
  <si>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</si>
  <si>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</si>
  <si>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</si>
  <si>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</si>
  <si>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</si>
  <si>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</si>
  <si>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</si>
  <si>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</si>
  <si>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</si>
  <si>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</si>
  <si>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</si>
  <si>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</si>
  <si>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</si>
  <si>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</si>
  <si>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</si>
  <si>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</si>
  <si>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</si>
  <si>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</si>
  <si>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</si>
  <si>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</si>
  <si>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</si>
  <si>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</si>
  <si>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</si>
  <si>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</si>
  <si>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</si>
  <si>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</si>
  <si>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</si>
  <si>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</si>
  <si>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</si>
  <si>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</si>
  <si>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</si>
  <si>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</si>
  <si>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</si>
  <si>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</si>
  <si>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</si>
  <si>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</si>
  <si>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</si>
  <si>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</si>
  <si>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</si>
  <si>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</si>
  <si>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</si>
  <si>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</si>
  <si>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</si>
  <si>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</si>
  <si>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</si>
  <si>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</si>
  <si>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</si>
  <si>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</si>
  <si>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</si>
  <si>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</si>
  <si>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</si>
  <si>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</si>
  <si>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</si>
  <si>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</si>
  <si>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</si>
  <si>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</si>
  <si>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</si>
  <si>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</si>
  <si>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</si>
  <si>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</si>
  <si>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</si>
  <si>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</si>
  <si>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</si>
  <si>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</si>
  <si>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</si>
  <si>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</si>
  <si>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</si>
  <si>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</si>
  <si>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</si>
  <si>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</si>
  <si>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</si>
  <si>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</si>
  <si>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</si>
  <si>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</si>
  <si>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</si>
  <si>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</si>
  <si>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</si>
  <si>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</si>
  <si>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</si>
  <si>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</si>
  <si>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</si>
  <si>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</si>
  <si>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</si>
  <si>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</si>
  <si>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</si>
  <si>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</si>
  <si>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</si>
  <si>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</si>
  <si>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</si>
  <si>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</si>
  <si>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</si>
  <si>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</si>
  <si>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</si>
  <si>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</si>
  <si>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</si>
  <si>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</si>
  <si>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</si>
  <si>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</si>
  <si>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</si>
  <si>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</si>
  <si>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</si>
  <si>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</si>
  <si>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</si>
  <si>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</si>
  <si>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</si>
  <si>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</si>
  <si>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</si>
  <si>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</si>
  <si>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</si>
  <si>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</si>
  <si>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</si>
  <si>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</si>
  <si>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</si>
  <si>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</si>
  <si>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</si>
  <si>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</si>
  <si>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</si>
  <si>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</si>
  <si>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</si>
  <si>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</si>
  <si>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</si>
  <si>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</si>
  <si>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</si>
  <si>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</si>
  <si>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</si>
  <si>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</si>
  <si>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</si>
  <si>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</si>
  <si>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</si>
  <si>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</si>
  <si>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</si>
  <si>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</si>
  <si>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</si>
  <si>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</si>
  <si>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</si>
  <si>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</si>
  <si>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</si>
  <si>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</si>
  <si>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</si>
  <si>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</si>
  <si>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</si>
  <si>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</si>
  <si>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</si>
  <si>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</si>
  <si>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</si>
  <si>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</si>
  <si>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</si>
  <si>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</si>
  <si>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</si>
  <si>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</si>
  <si>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</si>
  <si>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</si>
  <si>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</si>
  <si>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</si>
  <si>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</si>
  <si>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</si>
  <si>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</si>
  <si>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</si>
  <si>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</si>
  <si>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</si>
  <si>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</si>
  <si>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</si>
  <si>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</si>
  <si>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</si>
  <si>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</si>
  <si>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</si>
  <si>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</si>
  <si>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</si>
  <si>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</si>
  <si>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</si>
  <si>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</si>
  <si>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</si>
  <si>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</si>
  <si>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</si>
  <si>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</si>
  <si>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</si>
  <si>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</si>
  <si>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</si>
  <si>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</si>
  <si>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</si>
  <si>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</si>
  <si>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</si>
  <si>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</si>
  <si>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</si>
  <si>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</si>
  <si>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</si>
  <si>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</si>
  <si>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</si>
  <si>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</si>
  <si>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</si>
  <si>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</si>
  <si>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</si>
  <si>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</si>
  <si>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</si>
  <si>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</si>
  <si>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</si>
  <si>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</si>
  <si>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</si>
  <si>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</si>
  <si>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</si>
  <si>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</si>
  <si>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</si>
  <si>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</si>
  <si>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</si>
  <si>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</si>
  <si>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</si>
  <si>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</si>
  <si>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</si>
  <si>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</si>
  <si>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</si>
  <si>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</si>
  <si>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</si>
  <si>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</si>
  <si>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</si>
  <si>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</si>
  <si>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</si>
  <si>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</si>
  <si>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</si>
  <si>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</si>
  <si>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</si>
  <si>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</si>
  <si>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</si>
  <si>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</si>
  <si>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</si>
  <si>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</si>
  <si>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</si>
  <si>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</si>
  <si>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</si>
  <si>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</si>
  <si>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</si>
  <si>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</si>
  <si>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</si>
  <si>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</si>
  <si>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</si>
  <si>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</si>
  <si>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</si>
  <si>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</si>
  <si>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</si>
  <si>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</si>
  <si>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</si>
  <si>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</si>
  <si>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</si>
  <si>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</si>
  <si>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</si>
  <si>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</si>
  <si>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</si>
  <si>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</si>
  <si>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</si>
  <si>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</si>
  <si>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</si>
  <si>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</si>
  <si>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</si>
  <si>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</si>
  <si>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</si>
  <si>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</si>
  <si>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</si>
  <si>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</si>
  <si>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</si>
  <si>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</si>
  <si>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</si>
  <si>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</si>
  <si>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</si>
  <si>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</si>
  <si>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</si>
  <si>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</si>
  <si>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</si>
  <si>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</si>
  <si>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</si>
  <si>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</si>
  <si>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</si>
  <si>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</si>
  <si>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</si>
  <si>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</si>
  <si>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</si>
  <si>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</si>
  <si>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</si>
  <si>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</si>
  <si>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</si>
  <si>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</si>
  <si>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</si>
  <si>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</si>
  <si>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</si>
  <si>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</si>
  <si>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</si>
  <si>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</si>
  <si>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</si>
  <si>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</si>
  <si>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</si>
  <si>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</si>
  <si>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</si>
  <si>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</si>
  <si>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</si>
  <si>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</si>
  <si>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</si>
  <si>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</si>
  <si>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</si>
  <si>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</si>
  <si>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</si>
  <si>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</si>
  <si>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</si>
  <si>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</si>
  <si>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</si>
  <si>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</si>
  <si>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</si>
  <si>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</si>
  <si>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</si>
  <si>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</si>
  <si>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</si>
  <si>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</si>
  <si>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</si>
  <si>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</si>
  <si>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</si>
  <si>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</si>
  <si>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</si>
  <si>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</si>
  <si>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</si>
  <si>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</si>
  <si>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</si>
  <si>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</si>
  <si>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</si>
  <si>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</si>
  <si>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</si>
  <si>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</si>
  <si>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</si>
  <si>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</si>
  <si>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</si>
  <si>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</si>
  <si>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</si>
  <si>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</si>
  <si>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</si>
  <si>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</si>
  <si>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</si>
  <si>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</si>
  <si>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</si>
  <si>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</si>
  <si>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</si>
  <si>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</si>
  <si>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</si>
  <si>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</si>
  <si>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</si>
  <si>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</si>
  <si>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</si>
  <si>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</si>
  <si>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</si>
  <si>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</si>
  <si>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</si>
  <si>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</si>
  <si>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</si>
  <si>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</si>
  <si>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</si>
  <si>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</si>
  <si>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</si>
  <si>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</si>
  <si>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</si>
  <si>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</si>
  <si>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</si>
  <si>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</si>
  <si>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</si>
  <si>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</si>
  <si>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</si>
  <si>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</si>
  <si>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</si>
  <si>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</si>
  <si>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</si>
  <si>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</si>
  <si>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</si>
  <si>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</si>
  <si>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</si>
  <si>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</si>
  <si>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</si>
  <si>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</si>
  <si>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</si>
  <si>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</si>
  <si>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</si>
  <si>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</si>
  <si>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</si>
  <si>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</si>
  <si>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</si>
  <si>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</si>
  <si>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</si>
  <si>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</si>
  <si>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</si>
  <si>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</si>
  <si>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</si>
  <si>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</si>
  <si>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</si>
  <si>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</si>
  <si>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</si>
  <si>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</si>
  <si>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</si>
  <si>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</si>
  <si>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</si>
  <si>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</si>
  <si>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</si>
  <si>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</si>
  <si>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</si>
  <si>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</si>
  <si>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</si>
  <si>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</si>
  <si>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</si>
  <si>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</si>
  <si>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</si>
  <si>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</si>
  <si>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</si>
  <si>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</si>
  <si>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</si>
  <si>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</si>
  <si>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</si>
  <si>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</si>
  <si>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</si>
  <si>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</si>
  <si>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</si>
  <si>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</si>
  <si>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</si>
  <si>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</si>
  <si>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</si>
  <si>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</si>
  <si>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</si>
  <si>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</si>
  <si>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</si>
  <si>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</si>
  <si>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</si>
  <si>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</si>
  <si>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</si>
  <si>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</si>
  <si>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</si>
  <si>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</si>
  <si>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</si>
  <si>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</si>
  <si>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</si>
  <si>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</si>
  <si>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</si>
  <si>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</si>
  <si>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</si>
  <si>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</si>
  <si>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</si>
  <si>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</si>
  <si>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</si>
  <si>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</si>
  <si>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</si>
  <si>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</si>
  <si>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</si>
  <si>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</si>
  <si>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</si>
  <si>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</si>
  <si>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</si>
  <si>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</si>
  <si>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</si>
  <si>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</si>
  <si>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</si>
  <si>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</si>
  <si>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</si>
  <si>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</si>
  <si>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</si>
  <si>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</si>
  <si>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</si>
  <si>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</si>
  <si>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</si>
  <si>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</si>
  <si>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</si>
  <si>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</si>
  <si>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</si>
  <si>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</si>
  <si>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</si>
  <si>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</si>
  <si>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</si>
  <si>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</si>
  <si>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</si>
  <si>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</si>
  <si>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</si>
  <si>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</si>
  <si>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</si>
  <si>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</si>
  <si>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</si>
  <si>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</si>
  <si>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</si>
  <si>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</si>
  <si>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</si>
  <si>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</si>
  <si>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</si>
  <si>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</si>
  <si>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</si>
  <si>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</si>
  <si>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</si>
  <si>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</si>
  <si>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</si>
  <si>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</si>
  <si>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</si>
  <si>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</si>
  <si>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</si>
  <si>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</si>
  <si>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</si>
  <si>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</si>
  <si>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</si>
  <si>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</si>
  <si>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</si>
  <si>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</si>
  <si>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</si>
  <si>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</si>
  <si>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</si>
  <si>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</si>
  <si>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</si>
  <si>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</si>
  <si>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</si>
  <si>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</si>
  <si>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</si>
  <si>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</si>
  <si>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</si>
  <si>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</si>
  <si>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</si>
  <si>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</si>
  <si>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</si>
  <si>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</si>
  <si>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</si>
  <si>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</si>
  <si>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</si>
  <si>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</si>
  <si>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</si>
  <si>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</si>
  <si>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</si>
  <si>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</si>
  <si>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</si>
  <si>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</si>
  <si>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</si>
  <si>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</si>
  <si>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</si>
  <si>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</si>
  <si>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</si>
  <si>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</si>
  <si>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</si>
  <si>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</si>
  <si>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</si>
  <si>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</si>
  <si>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</si>
  <si>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</si>
  <si>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</si>
  <si>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</si>
  <si>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</si>
  <si>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</si>
  <si>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</si>
  <si>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</si>
  <si>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</si>
  <si>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</si>
  <si>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</si>
  <si>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</si>
  <si>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</si>
  <si>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</si>
  <si>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</si>
  <si>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</si>
  <si>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</si>
  <si>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</si>
  <si>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</si>
  <si>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</si>
  <si>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</si>
  <si>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</si>
  <si>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</si>
  <si>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</si>
  <si>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</si>
  <si>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</si>
  <si>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</si>
  <si>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</si>
  <si>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</si>
  <si>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</si>
  <si>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</si>
  <si>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</si>
  <si>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</si>
  <si>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</si>
  <si>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</si>
  <si>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</si>
  <si>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</si>
  <si>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</si>
  <si>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</si>
  <si>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</si>
  <si>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</si>
  <si>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</si>
  <si>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</si>
  <si>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</si>
  <si>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</si>
  <si>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</si>
  <si>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</si>
  <si>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</si>
  <si>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</si>
  <si>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</si>
  <si>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</si>
  <si>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</si>
  <si>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</si>
  <si>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</si>
  <si>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</si>
  <si>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</si>
  <si>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</si>
  <si>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</si>
  <si>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</si>
  <si>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</si>
  <si>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</si>
  <si>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</si>
  <si>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</si>
  <si>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</si>
  <si>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</si>
  <si>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</si>
  <si>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</si>
  <si>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</si>
  <si>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</si>
  <si>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</si>
  <si>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</si>
  <si>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</si>
  <si>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</si>
  <si>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</si>
  <si>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</si>
  <si>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</si>
  <si>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</si>
  <si>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</si>
  <si>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</si>
  <si>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</si>
  <si>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</si>
  <si>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</si>
  <si>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</si>
  <si>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</si>
  <si>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</si>
  <si>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</si>
  <si>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</si>
  <si>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</si>
  <si>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</si>
  <si>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</si>
  <si>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</si>
  <si>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</si>
  <si>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</si>
  <si>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</si>
  <si>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</si>
  <si>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</si>
  <si>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</si>
  <si>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</si>
  <si>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</si>
  <si>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</si>
  <si>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</si>
  <si>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</si>
  <si>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</si>
  <si>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</si>
  <si>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</si>
  <si>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</si>
  <si>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</si>
  <si>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</si>
  <si>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</si>
  <si>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</si>
  <si>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</si>
  <si>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</si>
  <si>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</si>
  <si>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</si>
  <si>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</si>
  <si>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</si>
  <si>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</si>
  <si>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</si>
  <si>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</si>
  <si>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</si>
  <si>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</si>
  <si>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</si>
  <si>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</si>
  <si>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</si>
  <si>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</si>
  <si>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</si>
  <si>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</si>
  <si>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</si>
  <si>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</si>
  <si>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</si>
  <si>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</si>
  <si>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</si>
  <si>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</si>
  <si>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</si>
  <si>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</si>
  <si>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</si>
  <si>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</si>
  <si>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</si>
  <si>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</si>
  <si>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</si>
  <si>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</si>
  <si>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</si>
  <si>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</si>
  <si>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</si>
  <si>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</si>
  <si>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</si>
  <si>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</si>
  <si>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</si>
  <si>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</si>
  <si>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</si>
  <si>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</si>
  <si>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</si>
  <si>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</si>
  <si>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</si>
  <si>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</si>
  <si>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</si>
  <si>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</si>
  <si>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</si>
  <si>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</si>
  <si>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</si>
  <si>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</si>
  <si>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</si>
  <si>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</si>
  <si>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</si>
  <si>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</si>
  <si>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</si>
  <si>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</si>
  <si>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</si>
  <si>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</si>
  <si>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</si>
  <si>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</si>
  <si>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</si>
  <si>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</si>
  <si>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</si>
  <si>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</si>
  <si>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</si>
  <si>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</si>
  <si>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</si>
  <si>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</si>
  <si>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</si>
  <si>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</si>
  <si>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</si>
  <si>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</si>
  <si>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</si>
  <si>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</si>
  <si>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</si>
  <si>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</si>
  <si>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</si>
  <si>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</si>
  <si>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</si>
  <si>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</si>
  <si>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</si>
  <si>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</si>
  <si>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</si>
  <si>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</si>
  <si>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</si>
  <si>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</si>
  <si>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</si>
  <si>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</si>
  <si>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</si>
  <si>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</si>
  <si>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</si>
  <si>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</si>
  <si>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</si>
  <si>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</si>
  <si>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</si>
  <si>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</si>
  <si>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</si>
  <si>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</si>
  <si>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</si>
  <si>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</si>
  <si>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</si>
  <si>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</si>
  <si>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</si>
  <si>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</si>
  <si>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</si>
  <si>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</si>
  <si>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</si>
  <si>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</si>
  <si>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</si>
  <si>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</si>
  <si>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</si>
  <si>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</si>
  <si>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</si>
  <si>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</si>
  <si>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</si>
  <si>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</si>
  <si>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</si>
  <si>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</si>
  <si>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</si>
  <si>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</si>
  <si>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</si>
  <si>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</si>
  <si>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</si>
  <si>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</si>
  <si>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</si>
  <si>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</si>
  <si>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</si>
  <si>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</si>
  <si>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</si>
  <si>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</si>
  <si>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</si>
  <si>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</si>
  <si>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</si>
  <si>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</si>
  <si>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</si>
  <si>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</si>
  <si>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</si>
  <si>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</si>
  <si>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</si>
  <si>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</si>
  <si>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</si>
  <si>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</si>
  <si>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</si>
  <si>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</si>
  <si>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</si>
  <si>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</si>
  <si>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</si>
  <si>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</si>
  <si>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</si>
  <si>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</si>
  <si>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</si>
  <si>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</si>
  <si>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</si>
  <si>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</si>
  <si>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</si>
  <si>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</si>
  <si>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</si>
  <si>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</si>
  <si>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</si>
  <si>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</si>
  <si>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</si>
  <si>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</si>
  <si>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</si>
  <si>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</si>
  <si>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</si>
  <si>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</si>
  <si>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</si>
  <si>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</si>
  <si>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</si>
  <si>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</si>
  <si>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</si>
  <si>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</si>
  <si>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</si>
  <si>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</si>
  <si>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</si>
  <si>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</si>
  <si>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</si>
  <si>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</si>
  <si>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</si>
  <si>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</si>
  <si>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</si>
  <si>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</si>
  <si>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</si>
  <si>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</si>
  <si>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</si>
  <si>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</si>
  <si>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</si>
  <si>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</si>
  <si>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</si>
  <si>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</si>
  <si>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</si>
  <si>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</si>
  <si>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</si>
  <si>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</si>
  <si>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</si>
  <si>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</si>
  <si>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</si>
  <si>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</si>
  <si>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</si>
  <si>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</si>
  <si>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</si>
  <si>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</si>
  <si>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</si>
  <si>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</si>
  <si>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</si>
  <si>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</si>
  <si>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</si>
  <si>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</si>
  <si>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</si>
  <si>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</si>
  <si>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</si>
  <si>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</si>
  <si>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</si>
  <si>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</si>
  <si>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</si>
  <si>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</si>
  <si>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</si>
  <si>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</si>
  <si>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</si>
  <si>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</si>
  <si>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</si>
  <si>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</si>
  <si>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</si>
  <si>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</si>
  <si>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</si>
  <si>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</si>
  <si>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</si>
  <si>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</si>
  <si>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</si>
  <si>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</si>
  <si>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</si>
  <si>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</si>
  <si>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</si>
  <si>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</si>
  <si>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</si>
  <si>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</si>
  <si>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</si>
  <si>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</si>
  <si>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</si>
  <si>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</si>
  <si>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</si>
  <si>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</si>
  <si>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</si>
  <si>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</si>
  <si>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</si>
  <si>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</si>
  <si>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</si>
  <si>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</si>
  <si>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</si>
  <si>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</si>
  <si>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</si>
  <si>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</si>
  <si>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</si>
  <si>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</si>
  <si>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</si>
  <si>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</si>
  <si>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</si>
  <si>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</si>
  <si>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</si>
  <si>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</si>
  <si>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</si>
  <si>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</si>
  <si>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</si>
  <si>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</si>
  <si>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</si>
  <si>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</si>
  <si>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</si>
  <si>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</si>
  <si>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</si>
  <si>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</si>
  <si>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</si>
  <si>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</si>
  <si>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</si>
  <si>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</si>
  <si>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</si>
  <si>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</si>
  <si>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</si>
  <si>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</si>
  <si>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</si>
  <si>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</si>
  <si>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</si>
  <si>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</si>
  <si>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</si>
  <si>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</si>
  <si>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</si>
  <si>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</si>
  <si>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</si>
  <si>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</si>
  <si>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</si>
  <si>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</si>
  <si>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</si>
  <si>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</si>
  <si>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</si>
  <si>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</si>
  <si>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</si>
  <si>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</si>
  <si>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</si>
  <si>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</si>
  <si>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</si>
  <si>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</si>
  <si>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</si>
  <si>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</si>
  <si>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</si>
  <si>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</si>
  <si>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</si>
  <si>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</si>
  <si>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</si>
  <si>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</si>
  <si>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</si>
  <si>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</si>
  <si>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</si>
  <si>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</si>
  <si>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</si>
  <si>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</si>
  <si>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</si>
  <si>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</si>
  <si>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</si>
  <si>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</si>
  <si>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</si>
  <si>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</si>
  <si>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</si>
  <si>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</si>
  <si>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</si>
  <si>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</si>
  <si>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</si>
  <si>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</si>
  <si>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</si>
  <si>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</si>
  <si>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</si>
  <si>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</si>
  <si>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</si>
  <si>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</si>
  <si>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</si>
  <si>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</si>
  <si>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</si>
  <si>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</si>
  <si>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</si>
  <si>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</si>
  <si>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</si>
  <si>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</si>
  <si>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</si>
  <si>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</si>
  <si>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</si>
  <si>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</si>
  <si>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</si>
  <si>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</si>
  <si>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</si>
  <si>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</si>
  <si>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</si>
  <si>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</si>
  <si>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</si>
  <si>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</si>
  <si>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</si>
  <si>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</si>
  <si>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</si>
  <si>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</si>
  <si>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</si>
  <si>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</si>
  <si>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</si>
  <si>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</si>
  <si>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</si>
  <si>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</si>
  <si>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</si>
  <si>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</si>
  <si>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</si>
  <si>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</si>
  <si>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</si>
  <si>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</si>
  <si>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</si>
  <si>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</si>
  <si>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</si>
  <si>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</si>
  <si>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</si>
  <si>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</si>
  <si>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</si>
  <si>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</si>
  <si>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</si>
  <si>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</si>
  <si>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</si>
  <si>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</si>
  <si>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</si>
  <si>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</si>
  <si>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</si>
  <si>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</si>
  <si>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</si>
  <si>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</si>
  <si>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</si>
  <si>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</si>
  <si>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</si>
  <si>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</si>
  <si>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</si>
  <si>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</si>
  <si>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</si>
  <si>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</si>
  <si>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</si>
  <si>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</si>
  <si>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</si>
  <si>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</si>
  <si>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</si>
  <si>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</si>
  <si>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</si>
  <si>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</si>
  <si>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</si>
  <si>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</si>
  <si>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</si>
  <si>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</si>
  <si>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</si>
  <si>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</si>
  <si>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</si>
  <si>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</si>
  <si>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</si>
  <si>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</si>
  <si>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</si>
  <si>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</si>
  <si>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</si>
  <si>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</si>
  <si>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</si>
  <si>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</si>
  <si>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</si>
  <si>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</si>
  <si>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</si>
  <si>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</si>
  <si>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</si>
  <si>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</si>
  <si>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</si>
  <si>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</si>
  <si>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</si>
  <si>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</si>
  <si>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</si>
  <si>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</si>
  <si>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</si>
  <si>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</si>
  <si>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</si>
  <si>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</si>
  <si>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</si>
  <si>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</si>
  <si>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</si>
  <si>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</si>
  <si>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</si>
  <si>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</si>
  <si>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</si>
  <si>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</si>
  <si>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</si>
  <si>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</si>
  <si>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</si>
  <si>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</si>
  <si>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</si>
  <si>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</si>
  <si>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</si>
  <si>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</si>
  <si>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</si>
  <si>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</si>
  <si>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</si>
  <si>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</si>
  <si>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</si>
  <si>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</si>
  <si>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</si>
  <si>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</si>
  <si>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</si>
  <si>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</si>
  <si>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</si>
  <si>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</si>
  <si>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</si>
  <si>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</si>
  <si>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</si>
  <si>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</si>
  <si>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</si>
  <si>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</si>
  <si>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</si>
  <si>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</si>
  <si>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</si>
  <si>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</si>
  <si>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</si>
  <si>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</si>
  <si>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</si>
  <si>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</si>
  <si>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</si>
  <si>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</si>
  <si>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</si>
  <si>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</si>
  <si>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</si>
  <si>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</si>
  <si>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</si>
  <si>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</si>
  <si>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</si>
  <si>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</si>
  <si>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</si>
  <si>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</si>
  <si>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</si>
  <si>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</si>
  <si>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</si>
  <si>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</si>
  <si>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</si>
  <si>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</si>
  <si>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</si>
  <si>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</si>
  <si>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</si>
  <si>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</si>
  <si>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</si>
  <si>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</si>
  <si>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</si>
  <si>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</si>
  <si>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</si>
  <si>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</si>
  <si>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</si>
  <si>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</si>
  <si>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</si>
  <si>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</si>
  <si>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</si>
  <si>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</si>
  <si>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</si>
  <si>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</si>
  <si>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</si>
  <si>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</si>
  <si>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</si>
  <si>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</si>
  <si>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</si>
  <si>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</si>
  <si>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</si>
  <si>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</si>
  <si>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</si>
  <si>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</si>
  <si>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</si>
  <si>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</si>
  <si>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</si>
  <si>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</si>
  <si>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</si>
  <si>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</si>
  <si>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</si>
  <si>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</si>
  <si>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</si>
  <si>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</si>
  <si>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</si>
  <si>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</si>
  <si>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</si>
  <si>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</si>
  <si>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</si>
  <si>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</si>
  <si>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</si>
  <si>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</si>
  <si>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</si>
  <si>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</si>
  <si>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</si>
  <si>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</si>
  <si>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</si>
  <si>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</si>
  <si>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</si>
  <si>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</si>
  <si>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</si>
  <si>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</si>
  <si>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</si>
  <si>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</si>
  <si>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</si>
  <si>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</si>
  <si>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</si>
  <si>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</si>
  <si>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</si>
  <si>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</si>
  <si>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</si>
  <si>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</si>
  <si>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</si>
  <si>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</si>
  <si>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</si>
  <si>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</si>
  <si>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</si>
  <si>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</si>
  <si>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</si>
  <si>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</si>
  <si>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</si>
  <si>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</si>
  <si>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</si>
  <si>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</si>
  <si>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</si>
  <si>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</si>
  <si>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</si>
  <si>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</si>
  <si>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</si>
  <si>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</si>
  <si>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</si>
  <si>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</si>
  <si>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</si>
  <si>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</si>
  <si>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</si>
  <si>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</si>
  <si>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</si>
  <si>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</si>
  <si>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</si>
  <si>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</si>
  <si>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</si>
  <si>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</si>
  <si>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</si>
  <si>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</si>
  <si>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</si>
  <si>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</si>
  <si>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</si>
  <si>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</si>
  <si>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</si>
  <si>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</si>
  <si>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</si>
  <si>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</si>
  <si>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</si>
  <si>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</si>
  <si>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</si>
  <si>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</si>
  <si>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</si>
  <si>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</si>
  <si>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</si>
  <si>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</si>
  <si>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</si>
  <si>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</si>
  <si>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</si>
  <si>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</si>
  <si>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</si>
  <si>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</si>
  <si>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</si>
  <si>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</si>
  <si>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</si>
  <si>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</si>
  <si>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</si>
  <si>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</si>
  <si>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</si>
  <si>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</si>
  <si>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</si>
  <si>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</si>
  <si>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</si>
  <si>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</si>
  <si>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</si>
  <si>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</si>
  <si>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</si>
  <si>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</si>
  <si>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</si>
  <si>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</si>
  <si>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</si>
  <si>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</si>
  <si>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</si>
  <si>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</si>
  <si>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</si>
  <si>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</si>
  <si>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</si>
  <si>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</si>
  <si>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</si>
  <si>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</si>
  <si>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</si>
  <si>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</si>
  <si>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</si>
  <si>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</si>
  <si>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</si>
  <si>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</si>
  <si>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</si>
  <si>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</si>
  <si>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</si>
  <si>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</si>
  <si>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</si>
  <si>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</si>
  <si>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</si>
  <si>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</si>
  <si>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</si>
  <si>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</si>
  <si>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</si>
  <si>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</si>
  <si>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</si>
  <si>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</si>
  <si>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</si>
  <si>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</si>
  <si>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</si>
  <si>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</si>
  <si>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</si>
  <si>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</si>
  <si>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</si>
  <si>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</si>
  <si>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</si>
  <si>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</si>
  <si>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</si>
  <si>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</si>
  <si>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</si>
  <si>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</si>
  <si>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</si>
  <si>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</si>
  <si>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</si>
  <si>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</si>
  <si>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</si>
  <si>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</si>
  <si>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</si>
  <si>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</si>
  <si>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</si>
  <si>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</si>
  <si>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</si>
  <si>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</si>
  <si>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</si>
  <si>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</si>
  <si>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</si>
  <si>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</si>
  <si>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</si>
  <si>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</si>
  <si>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</si>
  <si>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</si>
  <si>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</si>
  <si>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</si>
  <si>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</si>
  <si>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</si>
  <si>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</si>
  <si>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</si>
  <si>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</si>
  <si>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</si>
  <si>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</si>
  <si>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</si>
  <si>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</si>
  <si>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</si>
  <si>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</si>
  <si>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</si>
  <si>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</si>
  <si>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</si>
  <si>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</si>
  <si>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</si>
  <si>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</si>
  <si>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</si>
  <si>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</si>
  <si>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</si>
  <si>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</si>
  <si>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</si>
  <si>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</si>
  <si>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</si>
  <si>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</si>
  <si>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</si>
  <si>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</si>
  <si>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</si>
  <si>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</si>
  <si>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</si>
  <si>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</si>
  <si>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</si>
  <si>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</si>
  <si>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</si>
  <si>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</si>
  <si>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</si>
  <si>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</si>
  <si>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</si>
  <si>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</si>
  <si>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</si>
  <si>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</si>
  <si>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</si>
  <si>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</si>
  <si>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</si>
  <si>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</si>
  <si>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</si>
  <si>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</si>
  <si>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</si>
  <si>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</si>
  <si>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</si>
  <si>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</si>
  <si>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</si>
  <si>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</si>
  <si>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</si>
  <si>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</si>
  <si>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</si>
  <si>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</si>
  <si>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</si>
  <si>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</si>
  <si>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</si>
  <si>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</si>
  <si>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</si>
  <si>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</si>
  <si>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</si>
  <si>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</si>
  <si>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</si>
  <si>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</si>
  <si>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</si>
  <si>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</si>
  <si>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</si>
  <si>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</si>
  <si>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</si>
  <si>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</si>
  <si>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</si>
  <si>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</si>
  <si>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</si>
  <si>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</si>
  <si>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</si>
  <si>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</si>
  <si>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</si>
  <si>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</si>
  <si>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</si>
  <si>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</si>
  <si>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</si>
  <si>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</si>
  <si>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</si>
  <si>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</si>
  <si>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</si>
  <si>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</si>
  <si>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</si>
  <si>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</si>
  <si>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</si>
  <si>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</si>
  <si>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</si>
  <si>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</si>
  <si>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</si>
  <si>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</si>
  <si>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</si>
  <si>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</si>
  <si>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</si>
  <si>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</si>
  <si>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</si>
  <si>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</si>
  <si>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</si>
  <si>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</si>
  <si>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</si>
  <si>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</si>
  <si>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</si>
  <si>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</si>
  <si>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</si>
  <si>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</si>
  <si>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</si>
  <si>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</si>
  <si>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</si>
  <si>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</si>
  <si>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</si>
  <si>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</si>
  <si>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</si>
  <si>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</si>
  <si>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</si>
  <si>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</si>
  <si>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</si>
  <si>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</si>
  <si>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</si>
  <si>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</si>
  <si>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</si>
  <si>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</si>
  <si>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</si>
  <si>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</si>
  <si>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</si>
  <si>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</si>
  <si>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</si>
  <si>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</si>
  <si>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</si>
  <si>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</si>
  <si>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</si>
  <si>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</si>
  <si>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</si>
  <si>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</si>
  <si>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</si>
  <si>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</si>
  <si>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</si>
  <si>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</si>
  <si>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</si>
  <si>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</si>
  <si>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</si>
  <si>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</si>
  <si>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</si>
  <si>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</si>
  <si>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</si>
  <si>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</si>
  <si>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</si>
  <si>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</si>
  <si>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</si>
  <si>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</si>
  <si>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</si>
  <si>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</si>
  <si>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</si>
  <si>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</si>
  <si>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</si>
  <si>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</si>
  <si>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</si>
  <si>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</si>
  <si>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</si>
  <si>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</si>
  <si>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</si>
  <si>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</si>
  <si>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</si>
  <si>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</si>
  <si>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</si>
  <si>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</si>
  <si>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</si>
  <si>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</si>
  <si>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</si>
  <si>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</si>
  <si>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</si>
  <si>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</si>
  <si>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</si>
  <si>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</si>
  <si>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</si>
  <si>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</si>
  <si>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</si>
  <si>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</si>
  <si>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</si>
  <si>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</si>
  <si>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</si>
  <si>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</si>
  <si>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</si>
  <si>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</si>
  <si>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</si>
  <si>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</si>
  <si>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</si>
  <si>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</si>
  <si>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</si>
  <si>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</si>
  <si>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</si>
  <si>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</si>
  <si>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</si>
  <si>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</si>
  <si>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</si>
  <si>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</si>
  <si>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</si>
  <si>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</si>
  <si>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</si>
  <si>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</si>
  <si>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</si>
  <si>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</si>
  <si>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</si>
  <si>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</si>
  <si>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</si>
  <si>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</si>
  <si>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</si>
  <si>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</si>
  <si>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</si>
  <si>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</si>
  <si>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</si>
  <si>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</si>
  <si>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</si>
  <si>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</si>
  <si>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</si>
  <si>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</si>
  <si>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</si>
  <si>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</si>
  <si>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</si>
  <si>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</si>
  <si>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</si>
  <si>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</si>
  <si>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</si>
  <si>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</si>
  <si>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</si>
  <si>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</si>
  <si>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</si>
  <si>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</si>
  <si>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</si>
  <si>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</si>
  <si>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</si>
  <si>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</si>
  <si>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</si>
  <si>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</si>
  <si>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</si>
  <si>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</si>
  <si>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</si>
  <si>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</si>
  <si>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</si>
  <si>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</si>
  <si>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</si>
  <si>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</si>
  <si>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</si>
  <si>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</si>
  <si>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</si>
  <si>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</si>
  <si>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</si>
  <si>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</si>
  <si>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</si>
  <si>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</si>
  <si>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</si>
  <si>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</si>
  <si>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</si>
  <si>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</si>
  <si>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</si>
  <si>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</si>
  <si>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</si>
  <si>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</si>
  <si>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</si>
  <si>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</si>
  <si>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</si>
  <si>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</si>
  <si>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</si>
  <si>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</si>
  <si>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</si>
  <si>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</si>
  <si>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</si>
  <si>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</si>
  <si>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</si>
  <si>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</si>
  <si>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</si>
  <si>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</si>
  <si>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</si>
  <si>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</si>
  <si>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</si>
  <si>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</si>
  <si>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</si>
  <si>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</si>
  <si>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</si>
  <si>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</si>
  <si>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</si>
  <si>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</si>
  <si>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</si>
  <si>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</si>
  <si>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</si>
  <si>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</si>
  <si>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</si>
  <si>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</si>
  <si>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</si>
  <si>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</si>
  <si>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</si>
  <si>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</si>
  <si>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</si>
  <si>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</si>
  <si>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</si>
  <si>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</si>
  <si>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</si>
  <si>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</si>
  <si>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</si>
  <si>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</si>
  <si>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</si>
  <si>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</si>
  <si>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</si>
  <si>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</si>
  <si>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</si>
  <si>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</si>
  <si>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</si>
  <si>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</si>
  <si>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</si>
  <si>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</si>
  <si>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</si>
  <si>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</si>
  <si>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</si>
  <si>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</si>
  <si>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</si>
  <si>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</si>
  <si>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</si>
  <si>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</si>
  <si>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</si>
  <si>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</si>
  <si>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</si>
  <si>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</si>
  <si>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</si>
  <si>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</si>
  <si>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</si>
  <si>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</si>
  <si>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</si>
  <si>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</si>
  <si>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</si>
  <si>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</si>
  <si>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</si>
  <si>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</si>
  <si>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</si>
  <si>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</si>
  <si>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</si>
  <si>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</si>
  <si>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</si>
  <si>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</si>
  <si>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</si>
  <si>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</si>
  <si>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</si>
  <si>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</si>
  <si>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</si>
  <si>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</si>
  <si>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</si>
  <si>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</si>
  <si>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</si>
  <si>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</si>
  <si>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</si>
  <si>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</si>
  <si>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</si>
  <si>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</si>
  <si>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</si>
  <si>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</si>
  <si>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</si>
  <si>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</si>
  <si>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</si>
  <si>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</si>
  <si>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</si>
  <si>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</si>
  <si>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</si>
  <si>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</si>
  <si>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</si>
  <si>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</si>
  <si>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</si>
  <si>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</si>
  <si>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</si>
  <si>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</si>
  <si>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</si>
  <si>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</si>
  <si>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</si>
  <si>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</si>
  <si>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</si>
  <si>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</si>
  <si>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</si>
  <si>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</si>
  <si>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</si>
  <si>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</si>
  <si>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</si>
  <si>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</si>
  <si>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</si>
  <si>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</si>
  <si>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</si>
  <si>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</si>
  <si>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</si>
  <si>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</si>
  <si>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</si>
  <si>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</si>
  <si>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</si>
  <si>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</si>
  <si>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</si>
  <si>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</si>
  <si>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</si>
  <si>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</si>
  <si>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</si>
  <si>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</si>
  <si>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</si>
  <si>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</si>
  <si>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</si>
  <si>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</si>
  <si>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</si>
  <si>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</si>
  <si>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</si>
  <si>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</si>
  <si>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</si>
  <si>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</si>
  <si>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</si>
  <si>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</si>
  <si>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</si>
  <si>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</si>
  <si>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</si>
  <si>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</si>
  <si>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</si>
  <si>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</si>
  <si>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</si>
  <si>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</si>
  <si>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</si>
  <si>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</si>
  <si>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</si>
  <si>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</si>
  <si>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</si>
  <si>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</si>
  <si>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</si>
  <si>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</si>
  <si>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</si>
  <si>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</si>
  <si>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</si>
  <si>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</si>
  <si>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</si>
  <si>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</si>
  <si>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</si>
  <si>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</si>
  <si>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</si>
  <si>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</si>
  <si>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</si>
  <si>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</si>
  <si>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</si>
  <si>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</si>
  <si>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</si>
  <si>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</si>
  <si>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</si>
  <si>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</si>
  <si>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</si>
  <si>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</si>
  <si>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</si>
  <si>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</si>
  <si>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</si>
  <si>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</si>
  <si>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</si>
  <si>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</si>
  <si>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</si>
  <si>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</si>
  <si>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</si>
  <si>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</si>
  <si>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</si>
  <si>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</si>
  <si>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</si>
  <si>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</si>
  <si>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</si>
  <si>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</si>
  <si>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</si>
  <si>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</si>
  <si>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</si>
  <si>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</si>
  <si>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</si>
  <si>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</si>
  <si>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</si>
  <si>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</si>
  <si>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</si>
  <si>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</si>
  <si>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</si>
  <si>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</si>
  <si>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</si>
  <si>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</si>
  <si>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</si>
  <si>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</si>
  <si>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</si>
  <si>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</si>
  <si>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</si>
  <si>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</si>
  <si>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</si>
  <si>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</si>
  <si>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</si>
  <si>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</si>
  <si>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</si>
  <si>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</si>
  <si>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</si>
  <si>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</si>
  <si>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</si>
  <si>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</si>
  <si>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</si>
  <si>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</si>
  <si>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</si>
  <si>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</si>
  <si>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</si>
  <si>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</si>
  <si>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</si>
  <si>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</si>
  <si>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</si>
  <si>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</si>
  <si>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</si>
  <si>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</si>
  <si>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</si>
  <si>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</si>
  <si>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</si>
  <si>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</si>
  <si>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</si>
  <si>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</si>
  <si>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</si>
  <si>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</si>
  <si>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</si>
  <si>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</si>
  <si>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</si>
  <si>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</si>
  <si>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</si>
  <si>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</si>
  <si>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</si>
  <si>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</si>
  <si>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</si>
  <si>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</si>
  <si>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</si>
  <si>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</si>
  <si>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</si>
  <si>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</si>
  <si>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</si>
  <si>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</si>
  <si>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</si>
  <si>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</si>
  <si>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</si>
  <si>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</si>
  <si>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</si>
  <si>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</si>
  <si>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</si>
  <si>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</si>
  <si>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</si>
  <si>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</si>
  <si>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</si>
  <si>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</si>
  <si>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</si>
  <si>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</si>
  <si>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</si>
  <si>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</si>
  <si>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</si>
  <si>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</si>
  <si>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</si>
  <si>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</si>
  <si>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</si>
  <si>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</si>
  <si>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</si>
  <si>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</si>
  <si>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</si>
  <si>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</si>
  <si>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</si>
  <si>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</si>
  <si>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</si>
  <si>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</si>
  <si>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</si>
  <si>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</si>
  <si>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</si>
  <si>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</si>
  <si>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</si>
  <si>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</si>
  <si>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</si>
  <si>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</si>
  <si>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</si>
  <si>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</si>
  <si>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</si>
  <si>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</si>
  <si>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</si>
  <si>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</si>
  <si>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</si>
  <si>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</si>
  <si>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</si>
  <si>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</si>
  <si>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</si>
  <si>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</si>
  <si>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</si>
  <si>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</si>
  <si>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</si>
  <si>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</si>
  <si>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</si>
  <si>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</si>
  <si>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</si>
  <si>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</si>
  <si>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</si>
  <si>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</si>
  <si>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</si>
  <si>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</si>
  <si>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</si>
  <si>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</si>
  <si>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</si>
  <si>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</si>
  <si>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</si>
  <si>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</si>
  <si>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</si>
  <si>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</si>
  <si>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</si>
  <si>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</si>
  <si>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</si>
  <si>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</si>
  <si>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</si>
  <si>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</si>
  <si>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</si>
  <si>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</si>
  <si>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</si>
  <si>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</si>
  <si>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</si>
  <si>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</si>
  <si>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</si>
  <si>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</si>
  <si>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</si>
  <si>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</si>
  <si>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</si>
  <si>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</si>
  <si>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</si>
  <si>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</si>
  <si>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</si>
  <si>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</si>
  <si>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</si>
  <si>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</si>
  <si>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</si>
  <si>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</si>
  <si>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</si>
  <si>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</si>
  <si>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</si>
  <si>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</si>
  <si>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</si>
  <si>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</si>
  <si>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</si>
  <si>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</si>
  <si>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</si>
  <si>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</si>
  <si>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</si>
  <si>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</si>
  <si>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</si>
  <si>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</si>
  <si>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</si>
  <si>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</si>
  <si>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</si>
  <si>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</si>
  <si>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</si>
  <si>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</si>
  <si>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</si>
  <si>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</si>
  <si>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</si>
  <si>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</si>
  <si>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</si>
  <si>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</si>
  <si>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</si>
  <si>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</si>
  <si>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</si>
  <si>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</si>
  <si>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</si>
  <si>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</si>
  <si>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</si>
  <si>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</si>
  <si>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</si>
  <si>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</si>
  <si>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</si>
  <si>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</si>
  <si>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</si>
  <si>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</si>
  <si>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</si>
  <si>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</si>
  <si>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</si>
  <si>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</si>
  <si>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</si>
  <si>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</si>
  <si>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</si>
  <si>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</si>
  <si>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</si>
  <si>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</si>
  <si>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</si>
  <si>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</si>
  <si>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</si>
  <si>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</si>
  <si>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</si>
  <si>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</si>
  <si>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</si>
  <si>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</si>
  <si>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</si>
  <si>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</si>
  <si>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</si>
  <si>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</si>
  <si>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</si>
  <si>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</si>
  <si>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</si>
  <si>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</si>
  <si>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</si>
  <si>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</si>
  <si>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</si>
  <si>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</si>
  <si>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</si>
  <si>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</si>
  <si>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</si>
  <si>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</si>
  <si>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</si>
  <si>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</si>
  <si>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</si>
  <si>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</si>
  <si>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</si>
  <si>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</si>
  <si>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</si>
  <si>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</si>
  <si>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</si>
  <si>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</si>
  <si>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</si>
  <si>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</si>
  <si>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</si>
  <si>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</si>
  <si>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</si>
  <si>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</si>
  <si>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</si>
  <si>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</si>
  <si>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</si>
  <si>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</si>
  <si>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</si>
  <si>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</si>
  <si>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</si>
  <si>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</si>
  <si>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</si>
  <si>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</si>
  <si>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</si>
  <si>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</si>
  <si>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</si>
  <si>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</si>
  <si>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</si>
  <si>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</si>
  <si>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</si>
  <si>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</si>
  <si>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</si>
  <si>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</si>
  <si>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</si>
  <si>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</si>
  <si>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</si>
  <si>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</si>
  <si>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</si>
  <si>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</si>
  <si>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</si>
  <si>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</si>
  <si>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</si>
  <si>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</si>
  <si>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</si>
  <si>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</si>
  <si>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</si>
  <si>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</si>
  <si>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</si>
  <si>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</si>
  <si>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</si>
  <si>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</si>
  <si>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</si>
  <si>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</si>
  <si>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</si>
  <si>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</si>
  <si>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</si>
  <si>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</si>
  <si>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</si>
  <si>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</si>
  <si>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</si>
  <si>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</si>
  <si>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</si>
  <si>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</si>
  <si>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</si>
  <si>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</si>
  <si>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</si>
  <si>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</si>
  <si>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</si>
  <si>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</si>
  <si>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</si>
  <si>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</si>
  <si>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</si>
  <si>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</si>
  <si>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</si>
  <si>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</si>
  <si>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</si>
  <si>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</si>
  <si>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</si>
  <si>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</si>
  <si>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</si>
  <si>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</si>
  <si>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</si>
  <si>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</si>
  <si>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</si>
  <si>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</si>
  <si>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</si>
  <si>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</si>
  <si>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</si>
  <si>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</si>
  <si>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</si>
  <si>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</si>
  <si>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</si>
  <si>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</si>
  <si>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</si>
  <si>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</si>
  <si>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</si>
  <si>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</si>
  <si>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</si>
  <si>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</si>
  <si>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</si>
  <si>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</si>
  <si>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</si>
  <si>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</si>
  <si>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</si>
  <si>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</si>
  <si>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</si>
  <si>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</si>
  <si>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</si>
  <si>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</si>
  <si>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</si>
  <si>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</si>
  <si>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</si>
  <si>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</si>
  <si>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</si>
  <si>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</si>
  <si>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</si>
  <si>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</si>
  <si>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</si>
  <si>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</si>
  <si>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</si>
  <si>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</si>
  <si>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</si>
  <si>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</si>
  <si>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</si>
  <si>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</si>
  <si>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</si>
  <si>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</si>
  <si>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</si>
  <si>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</si>
  <si>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</si>
  <si>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</si>
  <si>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</si>
  <si>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</si>
  <si>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</si>
  <si>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</si>
  <si>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</si>
  <si>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</si>
  <si>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</si>
  <si>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</si>
  <si>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</si>
  <si>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</si>
  <si>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</si>
  <si>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</si>
  <si>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</si>
  <si>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</si>
  <si>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</si>
  <si>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</si>
  <si>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</si>
  <si>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</si>
  <si>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</si>
  <si>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</si>
  <si>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</si>
  <si>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</si>
  <si>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</si>
  <si>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</si>
  <si>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</si>
  <si>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</si>
  <si>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</si>
  <si>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</si>
  <si>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</si>
  <si>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</si>
  <si>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</si>
  <si>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</si>
  <si>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</si>
  <si>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</si>
  <si>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</si>
  <si>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</si>
  <si>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</si>
  <si>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</si>
  <si>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</si>
  <si>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</si>
  <si>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</si>
  <si>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</si>
  <si>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</si>
  <si>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</si>
  <si>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</si>
  <si>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</si>
  <si>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</si>
  <si>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</si>
  <si>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</si>
  <si>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</si>
  <si>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</si>
  <si>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</si>
  <si>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</si>
  <si>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</si>
  <si>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</si>
  <si>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</si>
  <si>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</si>
  <si>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</si>
  <si>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</si>
  <si>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</si>
  <si>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</si>
  <si>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</si>
  <si>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</si>
  <si>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</si>
  <si>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</si>
  <si>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</si>
  <si>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</si>
  <si>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</si>
  <si>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</si>
  <si>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</si>
  <si>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</si>
  <si>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</si>
  <si>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</si>
  <si>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</si>
  <si>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</si>
  <si>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</si>
  <si>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</si>
  <si>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</si>
  <si>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</si>
  <si>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</si>
  <si>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</si>
  <si>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</si>
  <si>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</si>
  <si>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</si>
  <si>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</si>
  <si>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</si>
  <si>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</si>
  <si>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</si>
  <si>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</si>
  <si>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</si>
  <si>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</si>
  <si>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</si>
  <si>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</si>
  <si>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</si>
  <si>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</si>
  <si>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</si>
  <si>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</si>
  <si>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</si>
  <si>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</si>
  <si>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</si>
  <si>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</si>
  <si>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</si>
  <si>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</si>
  <si>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</si>
  <si>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</si>
  <si>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</si>
  <si>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</si>
  <si>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</si>
  <si>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</si>
  <si>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</si>
  <si>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</si>
  <si>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</si>
  <si>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</si>
  <si>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</si>
  <si>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</si>
  <si>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</si>
  <si>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</si>
  <si>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</si>
  <si>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</si>
  <si>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</si>
  <si>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</si>
  <si>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</si>
  <si>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</si>
  <si>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</si>
  <si>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</si>
  <si>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</si>
  <si>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</si>
  <si>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</si>
  <si>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</si>
  <si>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</si>
  <si>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</si>
  <si>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</si>
  <si>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</si>
  <si>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</si>
  <si>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</si>
  <si>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</si>
  <si>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</si>
  <si>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</si>
  <si>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</si>
  <si>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</si>
  <si>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</si>
  <si>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</si>
  <si>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</si>
  <si>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</si>
  <si>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</si>
  <si>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</si>
  <si>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</si>
  <si>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</si>
  <si>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</si>
  <si>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</si>
  <si>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</si>
  <si>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</si>
  <si>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</si>
  <si>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</si>
  <si>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</si>
  <si>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</si>
  <si>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</si>
  <si>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</si>
  <si>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</si>
  <si>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</si>
  <si>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</si>
  <si>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</si>
  <si>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</si>
  <si>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</si>
  <si>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</si>
  <si>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</si>
  <si>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</si>
  <si>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</si>
  <si>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</si>
  <si>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</si>
  <si>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</si>
  <si>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</si>
  <si>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</si>
  <si>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</si>
  <si>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</si>
  <si>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</si>
  <si>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</si>
  <si>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</si>
  <si>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</si>
  <si>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</si>
  <si>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</si>
  <si>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</si>
  <si>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</si>
  <si>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</si>
  <si>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</si>
  <si>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</si>
  <si>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</si>
  <si>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</si>
  <si>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</si>
  <si>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</si>
  <si>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</si>
  <si>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</si>
  <si>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</si>
  <si>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</si>
  <si>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</si>
  <si>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</si>
  <si>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</si>
  <si>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</si>
  <si>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</si>
  <si>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</si>
  <si>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</si>
  <si>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</si>
  <si>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</si>
  <si>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</si>
  <si>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</si>
  <si>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</si>
  <si>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</si>
  <si>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</si>
  <si>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</si>
  <si>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</si>
  <si>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</si>
  <si>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</si>
  <si>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</si>
  <si>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</si>
  <si>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</si>
  <si>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</si>
  <si>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</si>
  <si>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</si>
  <si>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</si>
  <si>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</si>
  <si>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</si>
  <si>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</si>
  <si>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</si>
  <si>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</si>
  <si>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</si>
  <si>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</si>
  <si>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</si>
  <si>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</si>
  <si>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</si>
  <si>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</si>
  <si>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</si>
  <si>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</si>
  <si>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</si>
  <si>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</si>
  <si>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</si>
  <si>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</si>
  <si>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</si>
  <si>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</si>
  <si>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</si>
  <si>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</si>
  <si>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</si>
  <si>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</si>
  <si>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</si>
  <si>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</si>
  <si>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</si>
  <si>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</si>
  <si>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</si>
  <si>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</si>
  <si>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</si>
  <si>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</si>
  <si>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</si>
  <si>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</si>
  <si>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</si>
  <si>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</si>
  <si>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</si>
  <si>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</si>
  <si>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</si>
  <si>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</si>
  <si>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</si>
  <si>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</si>
  <si>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</si>
  <si>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</si>
  <si>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</si>
  <si>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</si>
  <si>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</si>
  <si>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</si>
  <si>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</si>
  <si>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</si>
  <si>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</si>
  <si>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</si>
  <si>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</si>
  <si>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</si>
  <si>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</si>
  <si>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</si>
  <si>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</si>
  <si>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</si>
  <si>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</si>
  <si>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</si>
  <si>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</si>
  <si>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</si>
  <si>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</si>
  <si>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</si>
  <si>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</si>
  <si>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</si>
  <si>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</si>
  <si>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</si>
  <si>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</si>
  <si>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</si>
  <si>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</si>
  <si>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</si>
  <si>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</si>
  <si>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</si>
  <si>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</si>
  <si>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</si>
  <si>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</si>
  <si>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</si>
  <si>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</si>
  <si>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</si>
  <si>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</si>
  <si>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</si>
  <si>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</si>
  <si>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</si>
  <si>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</si>
  <si>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</si>
  <si>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</si>
  <si>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</si>
  <si>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</si>
  <si>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</si>
  <si>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</si>
  <si>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</si>
  <si>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</si>
  <si>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</si>
  <si>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</si>
  <si>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</si>
  <si>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</si>
  <si>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</si>
  <si>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</si>
  <si>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</si>
  <si>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</si>
  <si>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</si>
  <si>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</si>
  <si>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</si>
  <si>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</si>
  <si>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</si>
  <si>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</si>
  <si>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</si>
  <si>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</si>
  <si>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</si>
  <si>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</si>
  <si>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</si>
  <si>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</si>
  <si>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</si>
  <si>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</si>
  <si>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</si>
  <si>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</si>
  <si>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</si>
  <si>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</si>
  <si>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</si>
  <si>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</si>
  <si>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</si>
  <si>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</si>
  <si>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</si>
  <si>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</si>
  <si>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</si>
  <si>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</si>
  <si>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</si>
  <si>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</si>
  <si>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</si>
  <si>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</si>
  <si>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</si>
  <si>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</si>
  <si>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</si>
  <si>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</si>
  <si>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</si>
  <si>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</si>
  <si>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</si>
  <si>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</si>
  <si>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</si>
  <si>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</si>
  <si>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</si>
  <si>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</si>
  <si>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</si>
  <si>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</si>
  <si>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</si>
  <si>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</si>
  <si>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</si>
  <si>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</si>
  <si>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</si>
  <si>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</si>
  <si>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</si>
  <si>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</si>
  <si>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</si>
  <si>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</si>
  <si>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</si>
  <si>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</si>
  <si>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</si>
  <si>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</si>
  <si>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</si>
  <si>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</si>
  <si>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</si>
  <si>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</si>
  <si>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</si>
  <si>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</si>
  <si>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</si>
  <si>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</si>
  <si>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</si>
  <si>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</si>
  <si>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</si>
  <si>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</si>
  <si>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</si>
  <si>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</si>
  <si>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</si>
  <si>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</si>
  <si>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</si>
  <si>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</si>
  <si>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</si>
  <si>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</si>
  <si>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</si>
  <si>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</si>
  <si>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</si>
  <si>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</si>
  <si>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</si>
  <si>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</si>
  <si>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</si>
  <si>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</si>
  <si>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</si>
  <si>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</si>
  <si>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</si>
  <si>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</si>
  <si>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</si>
  <si>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</si>
  <si>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</si>
  <si>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</si>
  <si>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</si>
  <si>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</si>
  <si>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</si>
  <si>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</si>
  <si>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</si>
  <si>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</si>
  <si>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</si>
  <si>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</si>
  <si>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</si>
  <si>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</si>
  <si>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</si>
  <si>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</si>
  <si>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</si>
  <si>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</si>
  <si>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</si>
  <si>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</si>
  <si>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</si>
  <si>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</si>
  <si>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</si>
  <si>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</si>
  <si>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</si>
  <si>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</si>
  <si>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</si>
  <si>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</si>
  <si>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</si>
  <si>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</si>
  <si>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</si>
  <si>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</si>
  <si>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</si>
  <si>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</si>
  <si>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</si>
  <si>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</si>
  <si>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</si>
  <si>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</si>
  <si>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</si>
  <si>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</si>
  <si>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</si>
  <si>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</si>
  <si>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</si>
  <si>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</si>
  <si>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</si>
  <si>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</si>
  <si>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</si>
  <si>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</si>
  <si>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</si>
  <si>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</si>
  <si>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</si>
  <si>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</si>
  <si>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</si>
  <si>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</si>
  <si>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</si>
  <si>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</si>
  <si>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</si>
  <si>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</si>
  <si>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</si>
  <si>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</si>
  <si>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</si>
  <si>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</si>
  <si>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</si>
  <si>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</si>
  <si>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</si>
  <si>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</si>
  <si>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</si>
  <si>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</si>
  <si>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</si>
  <si>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</si>
  <si>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</si>
  <si>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</si>
  <si>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</si>
  <si>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</si>
  <si>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</si>
  <si>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</si>
  <si>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</si>
  <si>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</si>
  <si>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</si>
  <si>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</si>
  <si>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</si>
  <si>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</si>
  <si>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</si>
  <si>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</si>
  <si>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</si>
  <si>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</si>
  <si>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</si>
  <si>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</si>
  <si>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</si>
  <si>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</si>
  <si>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</si>
  <si>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</si>
  <si>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</si>
  <si>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</si>
  <si>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</si>
  <si>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</si>
  <si>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</si>
  <si>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</si>
  <si>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</si>
  <si>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</si>
  <si>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</si>
  <si>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</si>
  <si>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</si>
  <si>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</si>
  <si>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</si>
  <si>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</si>
  <si>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</si>
  <si>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</si>
  <si>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</si>
  <si>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</si>
  <si>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</si>
  <si>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</si>
  <si>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</si>
  <si>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</si>
  <si>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</si>
  <si>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</si>
  <si>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</si>
  <si>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</si>
  <si>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</si>
  <si>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</si>
  <si>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</si>
  <si>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</si>
  <si>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</si>
  <si>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</si>
  <si>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</si>
  <si>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</si>
  <si>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</si>
  <si>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</si>
  <si>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</si>
  <si>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</si>
  <si>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</si>
  <si>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</si>
  <si>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</si>
  <si>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</si>
  <si>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</si>
  <si>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</si>
  <si>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</si>
  <si>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</si>
  <si>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</si>
  <si>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</si>
  <si>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</si>
  <si>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</si>
  <si>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</si>
  <si>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</si>
  <si>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</si>
  <si>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</si>
  <si>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</si>
  <si>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</si>
  <si>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</si>
  <si>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</si>
  <si>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</si>
  <si>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</si>
  <si>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</si>
  <si>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</si>
  <si>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</si>
  <si>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</si>
  <si>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</si>
  <si>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</si>
  <si>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</si>
  <si>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</si>
  <si>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</si>
  <si>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</si>
  <si>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</si>
  <si>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</si>
  <si>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</si>
  <si>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</si>
  <si>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</si>
  <si>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</si>
  <si>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</si>
  <si>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</si>
  <si>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</si>
  <si>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</si>
  <si>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</si>
  <si>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</si>
  <si>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</si>
  <si>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</si>
  <si>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</si>
  <si>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</si>
  <si>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</si>
  <si>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</si>
  <si>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</si>
  <si>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</si>
  <si>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</si>
  <si>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</si>
  <si>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</si>
  <si>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</si>
  <si>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</si>
  <si>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</si>
  <si>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</si>
  <si>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</si>
  <si>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</si>
  <si>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</si>
  <si>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</si>
  <si>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</si>
  <si>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</si>
  <si>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</si>
  <si>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</si>
  <si>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</si>
  <si>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</si>
  <si>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</si>
  <si>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</si>
  <si>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</si>
  <si>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</si>
  <si>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</si>
  <si>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</si>
  <si>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</si>
  <si>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</si>
  <si>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</si>
  <si>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</si>
  <si>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</si>
  <si>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</si>
  <si>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</si>
  <si>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</si>
  <si>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</si>
  <si>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</si>
  <si>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</si>
  <si>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</si>
  <si>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</si>
  <si>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</si>
  <si>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</si>
  <si>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</si>
  <si>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</si>
  <si>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</si>
  <si>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</si>
  <si>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</si>
  <si>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</si>
  <si>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</si>
  <si>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</si>
  <si>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</si>
  <si>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</si>
  <si>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</si>
  <si>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</si>
  <si>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</si>
  <si>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</si>
  <si>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</si>
  <si>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</si>
  <si>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</si>
  <si>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</si>
  <si>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</si>
  <si>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</si>
  <si>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</si>
  <si>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</si>
  <si>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</si>
  <si>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</si>
  <si>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</si>
  <si>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</si>
  <si>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</si>
  <si>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</si>
  <si>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</si>
  <si>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</si>
  <si>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</si>
  <si>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</si>
  <si>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</si>
  <si>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</si>
  <si>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</si>
  <si>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</si>
  <si>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</si>
  <si>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</si>
  <si>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</si>
  <si>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</si>
  <si>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</si>
  <si>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</si>
  <si>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</si>
  <si>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</si>
  <si>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</si>
  <si>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</si>
  <si>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</si>
  <si>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</si>
  <si>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</si>
  <si>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</si>
  <si>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</si>
  <si>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</si>
  <si>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</si>
  <si>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</si>
  <si>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</si>
  <si>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</si>
  <si>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</si>
  <si>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</si>
  <si>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</si>
  <si>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</si>
  <si>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</si>
  <si>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</si>
  <si>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</si>
  <si>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</si>
  <si>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</si>
  <si>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</si>
  <si>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</si>
  <si>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</si>
  <si>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</si>
  <si>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</si>
  <si>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</si>
  <si>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</si>
  <si>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</si>
  <si>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</si>
  <si>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</si>
  <si>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</si>
  <si>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</si>
  <si>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</si>
  <si>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</si>
  <si>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</si>
  <si>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</si>
  <si>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</si>
  <si>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</si>
  <si>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</si>
  <si>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</si>
  <si>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</si>
  <si>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</si>
  <si>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</si>
  <si>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</si>
  <si>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</si>
  <si>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</si>
  <si>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</si>
  <si>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</si>
  <si>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</si>
  <si>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</si>
  <si>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</si>
  <si>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</si>
  <si>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</si>
  <si>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</si>
  <si>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</si>
  <si>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</si>
  <si>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</si>
  <si>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</si>
  <si>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</si>
  <si>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</si>
  <si>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</si>
  <si>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</si>
  <si>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</si>
  <si>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</si>
  <si>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</si>
  <si>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</si>
  <si>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</si>
  <si>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</si>
  <si>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</si>
  <si>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</si>
  <si>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</si>
  <si>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</si>
  <si>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</si>
  <si>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</si>
  <si>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</si>
  <si>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</si>
  <si>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</si>
  <si>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</si>
  <si>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</si>
  <si>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</si>
  <si>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</si>
  <si>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</si>
  <si>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</si>
  <si>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</si>
  <si>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</si>
  <si>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</si>
  <si>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</si>
  <si>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</si>
  <si>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</si>
  <si>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</si>
  <si>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</si>
  <si>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</si>
  <si>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</si>
  <si>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</si>
  <si>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</si>
  <si>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</si>
  <si>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</si>
  <si>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</si>
  <si>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</si>
  <si>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</si>
  <si>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</si>
  <si>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</si>
  <si>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</si>
  <si>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</si>
  <si>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</si>
  <si>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</si>
  <si>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</si>
  <si>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</si>
  <si>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</si>
  <si>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</si>
  <si>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</si>
  <si>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</si>
  <si>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</si>
  <si>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</si>
  <si>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</si>
  <si>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</si>
  <si>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</si>
  <si>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</si>
  <si>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</si>
  <si>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</si>
  <si>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</si>
  <si>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</si>
  <si>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</si>
  <si>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</si>
  <si>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</si>
  <si>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</si>
  <si>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</si>
  <si>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</si>
  <si>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</si>
  <si>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</si>
  <si>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</si>
  <si>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</si>
  <si>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</si>
  <si>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</si>
  <si>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</si>
  <si>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</si>
  <si>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</si>
  <si>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</si>
  <si>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</si>
  <si>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</si>
  <si>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</si>
  <si>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</si>
  <si>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</si>
  <si>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</si>
  <si>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</si>
  <si>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</si>
  <si>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</si>
  <si>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</si>
  <si>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</si>
  <si>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</si>
  <si>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</si>
  <si>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</si>
  <si>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</si>
  <si>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</si>
  <si>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</si>
  <si>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</si>
  <si>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</si>
  <si>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</si>
  <si>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</si>
  <si>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</si>
  <si>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</si>
  <si>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</si>
  <si>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</si>
  <si>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</si>
  <si>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</si>
  <si>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</si>
  <si>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</si>
  <si>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</si>
  <si>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</si>
  <si>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</si>
  <si>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</si>
  <si>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</si>
  <si>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</si>
  <si>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</si>
  <si>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</si>
  <si>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</si>
  <si>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</si>
  <si>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</si>
  <si>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</si>
  <si>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</si>
  <si>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</si>
  <si>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</si>
  <si>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</si>
  <si>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</si>
  <si>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</si>
  <si>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</si>
  <si>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</si>
  <si>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</si>
  <si>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</si>
  <si>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</si>
  <si>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</si>
  <si>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</si>
  <si>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</si>
  <si>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</si>
  <si>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</si>
  <si>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</si>
  <si>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</si>
  <si>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</si>
  <si>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</si>
  <si>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</si>
  <si>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</si>
  <si>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</si>
  <si>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</si>
  <si>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</si>
  <si>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</si>
  <si>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</si>
  <si>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</si>
  <si>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</si>
  <si>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</si>
  <si>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</si>
  <si>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</si>
  <si>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</si>
  <si>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</si>
  <si>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</si>
  <si>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</si>
  <si>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</si>
  <si>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</si>
  <si>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</si>
  <si>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</si>
  <si>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</si>
  <si>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</si>
  <si>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</si>
  <si>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</si>
  <si>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</si>
  <si>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</si>
  <si>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</si>
  <si>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</si>
  <si>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</si>
  <si>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</si>
  <si>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</si>
  <si>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</si>
  <si>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</si>
  <si>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</si>
  <si>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</si>
  <si>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</si>
  <si>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</si>
  <si>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</si>
  <si>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</si>
  <si>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</si>
  <si>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</si>
  <si>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</si>
  <si>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</si>
  <si>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</si>
  <si>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</si>
  <si>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</si>
  <si>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</si>
  <si>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</si>
  <si>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</si>
  <si>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</si>
  <si>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</si>
  <si>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</si>
  <si>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</si>
  <si>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</si>
  <si>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</si>
  <si>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</si>
  <si>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</si>
  <si>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</si>
  <si>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</si>
  <si>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</si>
  <si>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</si>
  <si>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</si>
  <si>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</si>
  <si>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</si>
  <si>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</si>
  <si>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</si>
  <si>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</si>
  <si>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</si>
  <si>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</si>
  <si>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</si>
  <si>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</si>
  <si>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</si>
  <si>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</si>
  <si>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</si>
  <si>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</si>
  <si>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</si>
  <si>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</si>
  <si>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</si>
  <si>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</si>
  <si>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</si>
  <si>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</si>
  <si>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</si>
  <si>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</si>
  <si>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</si>
  <si>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</si>
  <si>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</si>
  <si>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</si>
  <si>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</si>
  <si>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</si>
  <si>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</si>
  <si>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</si>
  <si>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</si>
  <si>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</si>
  <si>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</si>
  <si>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</si>
  <si>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</si>
  <si>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</si>
  <si>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</si>
  <si>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</si>
  <si>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</si>
  <si>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</si>
  <si>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</si>
  <si>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</si>
  <si>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</si>
  <si>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</si>
  <si>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</si>
  <si>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</si>
  <si>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</si>
  <si>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</si>
  <si>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</si>
  <si>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</si>
  <si>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</si>
  <si>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</si>
  <si>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</si>
  <si>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</si>
  <si>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</si>
  <si>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</si>
  <si>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</si>
  <si>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</si>
  <si>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</si>
  <si>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</si>
  <si>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</si>
  <si>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</si>
  <si>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</si>
  <si>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</si>
  <si>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</si>
  <si>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</si>
  <si>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</si>
  <si>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</si>
  <si>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</si>
  <si>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</si>
  <si>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</si>
  <si>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</si>
  <si>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</si>
  <si>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</si>
  <si>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</si>
  <si>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</si>
  <si>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</si>
  <si>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</si>
  <si>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</si>
  <si>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</si>
  <si>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</si>
  <si>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</si>
  <si>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</si>
  <si>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</si>
  <si>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</si>
  <si>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</si>
  <si>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</si>
  <si>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</si>
  <si>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</si>
  <si>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</si>
  <si>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</si>
  <si>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</si>
  <si>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</si>
  <si>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</si>
  <si>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</si>
  <si>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</si>
  <si>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</si>
  <si>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</si>
  <si>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</si>
  <si>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</si>
  <si>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</si>
  <si>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</si>
  <si>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</si>
  <si>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</si>
  <si>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</si>
  <si>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</si>
  <si>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</si>
  <si>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</si>
  <si>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</si>
  <si>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</si>
  <si>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</si>
  <si>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</si>
  <si>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</si>
  <si>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</si>
  <si>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</si>
  <si>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</si>
  <si>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</si>
  <si>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</si>
  <si>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</si>
  <si>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</si>
  <si>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</si>
  <si>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</si>
  <si>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</si>
  <si>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</si>
  <si>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</si>
  <si>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</si>
  <si>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</si>
  <si>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</si>
  <si>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</si>
  <si>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</si>
  <si>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</si>
  <si>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</si>
  <si>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</si>
  <si>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</si>
  <si>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</si>
  <si>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</si>
  <si>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</si>
  <si>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</si>
  <si>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</si>
  <si>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</si>
  <si>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</si>
  <si>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</si>
  <si>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</si>
  <si>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</si>
  <si>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</si>
  <si>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</si>
  <si>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</si>
  <si>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</si>
  <si>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</si>
  <si>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</si>
  <si>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</si>
  <si>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</si>
  <si>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</si>
  <si>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</si>
  <si>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</si>
  <si>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</si>
  <si>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</si>
  <si>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</si>
  <si>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</si>
  <si>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</si>
  <si>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</si>
  <si>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</si>
  <si>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</si>
  <si>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</si>
  <si>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</si>
  <si>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</si>
  <si>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</si>
  <si>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</si>
  <si>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</si>
  <si>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</si>
  <si>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</si>
  <si>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</si>
  <si>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</si>
  <si>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</si>
  <si>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</si>
  <si>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</si>
  <si>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</si>
  <si>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</si>
  <si>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</si>
  <si>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</si>
  <si>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</si>
  <si>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</si>
  <si>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</si>
  <si>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</si>
  <si>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</si>
  <si>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</si>
  <si>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</si>
  <si>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</si>
  <si>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</si>
  <si>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</si>
  <si>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</si>
  <si>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</si>
  <si>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</si>
  <si>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</si>
  <si>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</si>
  <si>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</si>
  <si>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</si>
  <si>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</si>
  <si>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</si>
  <si>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</si>
  <si>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</si>
  <si>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</si>
  <si>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</si>
  <si>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</si>
  <si>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</si>
  <si>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</si>
  <si>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</si>
  <si>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</si>
  <si>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</si>
  <si>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</si>
  <si>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</si>
  <si>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</si>
  <si>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</si>
  <si>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</si>
  <si>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</si>
  <si>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</si>
  <si>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</si>
  <si>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</si>
  <si>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</si>
  <si>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</si>
  <si>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</si>
  <si>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</si>
  <si>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</si>
  <si>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</si>
  <si>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</si>
  <si>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</si>
  <si>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</si>
  <si>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</si>
  <si>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</si>
  <si>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</si>
  <si>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</si>
  <si>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</si>
  <si>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</si>
  <si>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</si>
  <si>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</si>
  <si>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</si>
  <si>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</si>
  <si>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</si>
  <si>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</si>
  <si>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</si>
  <si>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</si>
  <si>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</si>
  <si>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</si>
  <si>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</si>
  <si>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</si>
  <si>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</si>
  <si>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</si>
  <si>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</si>
  <si>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</si>
  <si>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</si>
  <si>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</si>
  <si>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</si>
  <si>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</si>
  <si>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</si>
  <si>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</si>
  <si>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</si>
  <si>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</si>
  <si>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</si>
  <si>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</si>
  <si>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</si>
  <si>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</si>
  <si>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</si>
  <si>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</si>
  <si>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</si>
  <si>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</si>
  <si>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</si>
  <si>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</si>
  <si>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</si>
  <si>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</si>
  <si>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</si>
  <si>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</si>
  <si>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</si>
  <si>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</si>
  <si>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</si>
  <si>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</si>
  <si>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</si>
  <si>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</si>
  <si>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</si>
  <si>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</si>
  <si>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</si>
  <si>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</si>
  <si>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</si>
  <si>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</si>
  <si>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</si>
  <si>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</si>
  <si>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</si>
  <si>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</si>
  <si>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</si>
  <si>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</si>
  <si>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</si>
  <si>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</si>
  <si>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</si>
  <si>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</si>
  <si>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</si>
  <si>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</si>
  <si>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</si>
  <si>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</si>
  <si>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</si>
  <si>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</si>
  <si>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</si>
  <si>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</si>
  <si>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</si>
  <si>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</si>
  <si>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</si>
  <si>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</si>
  <si>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</si>
  <si>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</si>
  <si>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</si>
  <si>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</si>
  <si>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</si>
  <si>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</si>
  <si>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</si>
  <si>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</si>
  <si>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</si>
  <si>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</si>
  <si>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</si>
  <si>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</si>
  <si>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</si>
  <si>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</si>
  <si>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</si>
  <si>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</si>
  <si>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</si>
  <si>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</si>
  <si>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</si>
  <si>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</si>
  <si>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</si>
  <si>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</si>
  <si>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</si>
  <si>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</si>
  <si>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</si>
  <si>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</si>
  <si>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</si>
  <si>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</si>
  <si>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</si>
  <si>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</si>
  <si>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</si>
  <si>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</si>
  <si>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</si>
  <si>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</si>
  <si>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</si>
  <si>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</si>
  <si>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</si>
  <si>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</si>
  <si>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</si>
  <si>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</si>
  <si>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</si>
  <si>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</si>
  <si>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</si>
  <si>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</si>
  <si>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</si>
  <si>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</si>
  <si>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</si>
  <si>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</si>
  <si>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</si>
  <si>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</si>
  <si>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</si>
  <si>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</si>
  <si>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</si>
  <si>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</si>
  <si>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</si>
  <si>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</si>
  <si>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</si>
  <si>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</si>
  <si>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</si>
  <si>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</si>
  <si>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</si>
  <si>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</si>
  <si>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</si>
  <si>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</si>
  <si>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</si>
  <si>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</si>
  <si>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</si>
  <si>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</si>
  <si>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</si>
  <si>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</si>
  <si>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</si>
  <si>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</si>
  <si>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</si>
  <si>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</si>
  <si>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</si>
  <si>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</si>
  <si>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</si>
  <si>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</si>
  <si>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</si>
  <si>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</si>
  <si>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</si>
  <si>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</si>
  <si>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</si>
  <si>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</si>
  <si>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</si>
  <si>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</si>
  <si>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</si>
  <si>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</si>
  <si>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</si>
  <si>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</si>
  <si>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</si>
  <si>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</si>
  <si>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</si>
  <si>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</si>
  <si>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</si>
  <si>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</si>
  <si>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</si>
  <si>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</si>
  <si>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</si>
  <si>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</si>
  <si>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</si>
  <si>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</si>
  <si>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</si>
  <si>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</si>
  <si>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</si>
  <si>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</si>
  <si>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</si>
  <si>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</si>
  <si>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</si>
  <si>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</si>
  <si>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</si>
  <si>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</si>
  <si>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</si>
  <si>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</si>
  <si>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</si>
  <si>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</si>
  <si>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</si>
  <si>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</si>
  <si>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</si>
  <si>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</si>
  <si>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</si>
  <si>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</si>
  <si>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</si>
  <si>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</si>
  <si>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</si>
  <si>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</si>
  <si>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</si>
  <si>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</si>
  <si>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</si>
  <si>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</si>
  <si>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</si>
  <si>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</si>
  <si>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</si>
  <si>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</si>
  <si>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</si>
  <si>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</si>
  <si>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</si>
  <si>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</si>
  <si>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</si>
  <si>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</si>
  <si>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</si>
  <si>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</si>
  <si>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</si>
  <si>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</si>
  <si>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</si>
  <si>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</si>
  <si>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</si>
  <si>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</si>
  <si>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</si>
  <si>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</si>
  <si>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</si>
  <si>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</si>
  <si>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</si>
  <si>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</si>
  <si>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</si>
  <si>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</si>
  <si>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</si>
  <si>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</si>
  <si>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</si>
  <si>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</si>
  <si>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</si>
  <si>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</si>
  <si>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</si>
  <si>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</si>
  <si>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</si>
  <si>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</si>
  <si>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</si>
  <si>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</si>
  <si>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</si>
  <si>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</si>
  <si>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</si>
  <si>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</si>
  <si>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</si>
  <si>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</si>
  <si>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</si>
  <si>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</si>
  <si>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</si>
  <si>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</si>
  <si>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</si>
  <si>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</si>
  <si>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</si>
  <si>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</si>
  <si>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</si>
  <si>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</si>
  <si>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</si>
  <si>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</si>
  <si>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</si>
  <si>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</si>
  <si>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</si>
  <si>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</si>
  <si>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</si>
  <si>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</si>
  <si>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</si>
  <si>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</si>
  <si>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</si>
  <si>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</si>
  <si>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</si>
  <si>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</si>
  <si>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</si>
  <si>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</si>
  <si>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</si>
  <si>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</si>
  <si>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</si>
  <si>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</si>
  <si>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</si>
  <si>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</si>
  <si>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</si>
  <si>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</si>
  <si>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</si>
  <si>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</si>
  <si>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</si>
  <si>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</si>
  <si>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</si>
  <si>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</si>
  <si>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</si>
  <si>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</si>
  <si>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</si>
  <si>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</si>
  <si>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</si>
  <si>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</si>
  <si>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</si>
  <si>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</si>
  <si>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</si>
  <si>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</si>
  <si>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</si>
  <si>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</si>
  <si>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</si>
  <si>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</si>
  <si>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</si>
  <si>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</si>
  <si>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</si>
  <si>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</si>
  <si>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</si>
  <si>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</si>
  <si>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</si>
  <si>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</si>
  <si>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</si>
  <si>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</si>
  <si>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</si>
  <si>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</si>
  <si>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</si>
  <si>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</si>
  <si>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</si>
  <si>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</si>
  <si>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</si>
  <si>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</si>
  <si>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</si>
  <si>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</si>
  <si>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</si>
  <si>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</si>
  <si>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</si>
  <si>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</si>
  <si>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</si>
  <si>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</si>
  <si>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</si>
  <si>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</si>
  <si>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</si>
  <si>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</si>
  <si>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</si>
  <si>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</si>
  <si>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</si>
  <si>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</si>
  <si>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</si>
  <si>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</si>
  <si>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</si>
  <si>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</si>
  <si>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</si>
  <si>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</si>
  <si>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</si>
  <si>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</si>
  <si>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</si>
  <si>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</si>
  <si>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</si>
  <si>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</si>
  <si>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</si>
  <si>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</si>
  <si>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</si>
  <si>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</si>
  <si>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</si>
  <si>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</si>
  <si>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</si>
  <si>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</si>
  <si>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</si>
  <si>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</si>
  <si>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</si>
  <si>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</si>
  <si>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</si>
  <si>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</si>
  <si>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</si>
  <si>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</si>
  <si>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</si>
  <si>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</si>
  <si>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</si>
  <si>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</si>
  <si>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</si>
  <si>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</si>
  <si>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</si>
  <si>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</si>
  <si>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</si>
  <si>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</si>
  <si>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</si>
  <si>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</si>
  <si>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</si>
  <si>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</si>
  <si>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</si>
  <si>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</si>
  <si>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</si>
  <si>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</si>
  <si>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</si>
  <si>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</si>
  <si>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</si>
  <si>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</si>
  <si>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</si>
  <si>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</si>
  <si>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</si>
  <si>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</si>
  <si>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</si>
  <si>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</si>
  <si>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</si>
  <si>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</si>
  <si>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</si>
  <si>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</si>
  <si>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</si>
  <si>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</si>
  <si>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</si>
  <si>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</si>
  <si>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</si>
  <si>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</si>
  <si>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</si>
  <si>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</si>
  <si>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</si>
  <si>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</si>
  <si>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</si>
  <si>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</si>
  <si>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</si>
  <si>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</si>
  <si>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</si>
  <si>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</si>
  <si>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</si>
  <si>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</si>
  <si>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</si>
  <si>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</si>
  <si>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</si>
  <si>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</si>
  <si>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</si>
  <si>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</si>
  <si>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</si>
  <si>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</si>
  <si>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</si>
  <si>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</si>
  <si>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</si>
  <si>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</si>
  <si>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</si>
  <si>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</si>
  <si>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</si>
  <si>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</si>
  <si>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</si>
  <si>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</si>
  <si>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</si>
  <si>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</si>
  <si>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</si>
  <si>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</si>
  <si>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</si>
  <si>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</si>
  <si>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</si>
  <si>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</si>
  <si>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</si>
  <si>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</si>
  <si>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</si>
  <si>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</si>
  <si>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</si>
  <si>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</si>
  <si>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</si>
  <si>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</si>
  <si>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</si>
  <si>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</si>
  <si>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</si>
  <si>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</si>
  <si>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</si>
  <si>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</si>
  <si>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</si>
  <si>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</si>
  <si>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</si>
  <si>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</si>
  <si>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</si>
  <si>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</si>
  <si>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</si>
  <si>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</si>
  <si>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</si>
  <si>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</si>
  <si>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</si>
  <si>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</si>
  <si>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</si>
  <si>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</si>
  <si>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</si>
  <si>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</si>
  <si>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</si>
  <si>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</si>
  <si>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</si>
  <si>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</si>
  <si>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</si>
  <si>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</si>
  <si>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</si>
  <si>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</si>
  <si>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</si>
  <si>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</si>
  <si>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</si>
  <si>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</si>
  <si>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</si>
  <si>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</si>
  <si>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</si>
  <si>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</si>
  <si>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</si>
  <si>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</si>
  <si>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</si>
  <si>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</si>
  <si>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</si>
  <si>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</si>
  <si>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</si>
  <si>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</si>
  <si>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</si>
  <si>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</si>
  <si>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</si>
  <si>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</si>
  <si>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</si>
  <si>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</si>
  <si>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</si>
  <si>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</si>
  <si>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</si>
  <si>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</si>
  <si>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</si>
  <si>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</si>
  <si>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</si>
  <si>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</si>
  <si>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</si>
  <si>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</si>
  <si>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</si>
  <si>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</si>
  <si>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</si>
  <si>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</si>
  <si>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</si>
  <si>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</si>
  <si>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</si>
  <si>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</si>
  <si>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</si>
  <si>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</si>
  <si>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</si>
  <si>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</si>
  <si>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</si>
  <si>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</si>
  <si>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</si>
  <si>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</si>
  <si>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</si>
  <si>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</si>
  <si>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</si>
  <si>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</si>
  <si>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</si>
  <si>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</si>
  <si>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</si>
  <si>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</si>
  <si>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</si>
  <si>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</si>
  <si>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</si>
  <si>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</si>
  <si>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</si>
  <si>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</si>
  <si>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</si>
  <si>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</si>
  <si>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</si>
  <si>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</si>
  <si>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</si>
  <si>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</si>
  <si>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</si>
  <si>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</si>
  <si>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</si>
  <si>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</si>
  <si>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</si>
  <si>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</si>
  <si>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</si>
  <si>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</si>
  <si>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</si>
  <si>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</si>
  <si>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</si>
  <si>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</si>
  <si>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</si>
  <si>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</si>
  <si>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</si>
  <si>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</si>
  <si>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</si>
  <si>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</si>
  <si>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</si>
  <si>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</si>
  <si>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</si>
  <si>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</si>
  <si>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</si>
  <si>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</si>
  <si>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</si>
  <si>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</si>
  <si>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</si>
  <si>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</si>
  <si>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</si>
  <si>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</si>
  <si>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</si>
  <si>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</si>
  <si>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</si>
  <si>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</si>
  <si>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</si>
  <si>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</si>
  <si>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</si>
  <si>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</si>
  <si>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</si>
  <si>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</si>
  <si>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</si>
  <si>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</si>
  <si>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</si>
  <si>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</si>
  <si>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</si>
  <si>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</si>
  <si>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</si>
  <si>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</si>
  <si>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</si>
  <si>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</si>
  <si>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</si>
  <si>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</si>
  <si>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</si>
  <si>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</si>
  <si>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</si>
  <si>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</si>
  <si>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</si>
  <si>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</si>
  <si>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</si>
  <si>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</si>
  <si>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</si>
  <si>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</si>
  <si>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</si>
  <si>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</si>
  <si>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</si>
  <si>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</si>
  <si>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</si>
  <si>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</si>
  <si>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</si>
  <si>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</si>
  <si>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</si>
  <si>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</si>
  <si>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</si>
  <si>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</si>
  <si>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</si>
  <si>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</si>
  <si>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</si>
  <si>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</si>
  <si>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</si>
  <si>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</si>
  <si>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</si>
  <si>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</si>
  <si>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</si>
  <si>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</si>
  <si>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</si>
  <si>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</si>
  <si>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</si>
  <si>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</si>
  <si>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</si>
  <si>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</si>
  <si>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</si>
  <si>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</si>
  <si>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</si>
  <si>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</si>
  <si>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</si>
  <si>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</si>
  <si>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</si>
  <si>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</si>
  <si>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</si>
  <si>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</si>
  <si>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</si>
  <si>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</si>
  <si>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</si>
  <si>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</si>
  <si>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</si>
  <si>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</si>
  <si>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</si>
  <si>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</si>
  <si>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</si>
  <si>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</si>
  <si>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</si>
  <si>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</si>
  <si>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</si>
  <si>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</si>
  <si>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</si>
  <si>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</si>
  <si>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</si>
  <si>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</si>
  <si>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</si>
  <si>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</si>
  <si>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</si>
  <si>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</si>
  <si>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</si>
  <si>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</si>
  <si>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</si>
  <si>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</si>
  <si>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</si>
  <si>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</si>
  <si>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</si>
  <si>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</si>
  <si>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</si>
  <si>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</si>
  <si>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</si>
  <si>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</si>
  <si>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</si>
  <si>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</si>
  <si>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</si>
  <si>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</si>
  <si>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</si>
  <si>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</si>
  <si>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</si>
  <si>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</si>
  <si>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</si>
  <si>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</si>
  <si>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</si>
  <si>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</si>
  <si>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</si>
  <si>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</si>
  <si>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</si>
  <si>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</si>
  <si>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</si>
  <si>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</si>
  <si>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</si>
  <si>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</si>
  <si>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</si>
  <si>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</si>
  <si>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</si>
  <si>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</si>
  <si>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</si>
  <si>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</si>
  <si>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</si>
  <si>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</si>
  <si>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</si>
  <si>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</si>
  <si>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</si>
  <si>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</si>
  <si>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</si>
  <si>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</si>
  <si>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</si>
  <si>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</si>
  <si>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</si>
  <si>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</si>
  <si>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</si>
  <si>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</si>
  <si>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</si>
  <si>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</si>
  <si>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</si>
  <si>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</si>
  <si>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</si>
  <si>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</si>
  <si>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</si>
  <si>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</si>
  <si>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</si>
  <si>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</si>
  <si>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</si>
  <si>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</si>
  <si>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</si>
  <si>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</si>
  <si>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</si>
  <si>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</si>
  <si>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</si>
  <si>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</si>
  <si>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</si>
  <si>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</si>
  <si>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</si>
  <si>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</si>
  <si>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</si>
  <si>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</si>
  <si>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</si>
  <si>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</si>
  <si>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</si>
  <si>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</si>
  <si>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</si>
  <si>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</si>
  <si>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</si>
  <si>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</si>
  <si>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</si>
  <si>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</si>
  <si>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</si>
  <si>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</si>
  <si>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</si>
  <si>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</si>
  <si>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</si>
  <si>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</si>
  <si>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</si>
  <si>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</si>
  <si>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</si>
  <si>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</si>
  <si>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</si>
  <si>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</si>
  <si>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</si>
  <si>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</si>
  <si>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</si>
  <si>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</si>
  <si>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</si>
  <si>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</si>
  <si>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</si>
  <si>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</si>
  <si>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</si>
  <si>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</si>
  <si>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</si>
  <si>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</si>
  <si>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</si>
  <si>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</si>
  <si>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</si>
  <si>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</si>
  <si>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</si>
  <si>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</si>
  <si>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</si>
  <si>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</si>
  <si>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</si>
  <si>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</si>
  <si>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</si>
  <si>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</si>
  <si>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</si>
  <si>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</si>
  <si>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</si>
  <si>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</si>
  <si>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</si>
  <si>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</si>
  <si>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</si>
  <si>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</si>
  <si>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</si>
  <si>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</si>
  <si>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</si>
  <si>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</si>
  <si>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</si>
  <si>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</si>
  <si>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</si>
  <si>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</si>
  <si>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</si>
  <si>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</si>
  <si>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</si>
  <si>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</si>
  <si>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</si>
  <si>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</si>
  <si>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</si>
  <si>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</si>
  <si>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</si>
  <si>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</si>
  <si>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</si>
  <si>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</si>
  <si>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</si>
  <si>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</si>
  <si>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</si>
  <si>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</si>
  <si>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</si>
  <si>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</si>
  <si>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</si>
  <si>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</si>
  <si>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</si>
  <si>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</si>
  <si>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</si>
  <si>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</si>
  <si>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</si>
  <si>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</si>
  <si>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</si>
  <si>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</si>
  <si>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</si>
  <si>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</si>
  <si>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</si>
  <si>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</si>
  <si>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</si>
  <si>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</si>
  <si>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</si>
  <si>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</si>
  <si>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</si>
  <si>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</si>
  <si>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</si>
  <si>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</si>
  <si>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</si>
  <si>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</si>
  <si>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</si>
  <si>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</si>
  <si>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</si>
  <si>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</si>
  <si>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</si>
  <si>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</si>
  <si>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</si>
  <si>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</si>
  <si>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</si>
  <si>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</si>
  <si>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</si>
  <si>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</si>
  <si>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</si>
  <si>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</si>
  <si>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</si>
  <si>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</si>
  <si>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</si>
  <si>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</si>
  <si>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</si>
  <si>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</si>
  <si>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</si>
  <si>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</si>
  <si>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</si>
  <si>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</si>
  <si>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</si>
  <si>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</si>
  <si>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</si>
  <si>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</si>
  <si>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</si>
  <si>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</si>
  <si>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</si>
  <si>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</si>
  <si>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</si>
  <si>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</si>
  <si>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</si>
  <si>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</si>
  <si>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</si>
  <si>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</si>
  <si>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</si>
  <si>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</si>
  <si>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</si>
  <si>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</si>
  <si>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</si>
  <si>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</si>
  <si>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</si>
  <si>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</si>
  <si>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</si>
  <si>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</si>
  <si>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</si>
  <si>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</si>
  <si>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</si>
  <si>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</si>
  <si>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</si>
  <si>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</si>
  <si>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</si>
  <si>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</si>
  <si>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</si>
  <si>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</si>
  <si>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</si>
  <si>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</si>
  <si>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</si>
  <si>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</si>
  <si>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</si>
  <si>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</si>
  <si>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</si>
  <si>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</si>
  <si>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</si>
  <si>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</si>
  <si>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</si>
  <si>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</si>
  <si>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</si>
  <si>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</si>
  <si>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</si>
  <si>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</si>
  <si>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</si>
  <si>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</si>
  <si>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</si>
  <si>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</si>
  <si>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</si>
  <si>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</si>
  <si>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</si>
  <si>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</si>
  <si>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</si>
  <si>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</si>
  <si>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</si>
  <si>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</si>
  <si>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</si>
  <si>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</si>
  <si>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</si>
  <si>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</si>
  <si>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</si>
  <si>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</si>
  <si>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</si>
  <si>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</si>
  <si>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</si>
  <si>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</si>
  <si>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</si>
  <si>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</si>
  <si>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</si>
  <si>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</si>
  <si>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</si>
  <si>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</si>
  <si>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</si>
  <si>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</si>
  <si>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</si>
  <si>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</si>
  <si>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</si>
  <si>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</si>
  <si>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</si>
  <si>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</si>
  <si>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</si>
  <si>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</si>
  <si>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</si>
  <si>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</si>
  <si>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</si>
  <si>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</si>
  <si>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</si>
  <si>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</si>
  <si>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</si>
  <si>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</si>
  <si>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</si>
  <si>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</si>
  <si>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</si>
  <si>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</si>
  <si>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</si>
  <si>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</si>
  <si>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</si>
  <si>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</si>
  <si>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</si>
  <si>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</si>
  <si>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</si>
  <si>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</si>
  <si>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</si>
  <si>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</si>
  <si>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</si>
  <si>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</si>
  <si>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</si>
  <si>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</si>
  <si>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</si>
  <si>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</si>
  <si>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</si>
  <si>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</si>
  <si>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</si>
  <si>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</si>
  <si>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</si>
  <si>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</si>
  <si>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</si>
  <si>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</si>
  <si>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</si>
  <si>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</si>
  <si>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</si>
  <si>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</si>
  <si>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</si>
  <si>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</si>
  <si>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</si>
  <si>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</si>
  <si>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</si>
  <si>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</si>
  <si>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</si>
  <si>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</si>
  <si>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</si>
  <si>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</si>
  <si>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</si>
  <si>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</si>
  <si>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</si>
  <si>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</si>
  <si>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</si>
  <si>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</si>
  <si>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</si>
  <si>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</si>
  <si>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</si>
  <si>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</si>
  <si>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</si>
  <si>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</si>
  <si>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</si>
  <si>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</si>
  <si>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</si>
  <si>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</si>
  <si>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</si>
  <si>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</si>
  <si>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</si>
  <si>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</si>
  <si>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</si>
  <si>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</si>
  <si>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</si>
  <si>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</si>
  <si>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</si>
  <si>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</si>
  <si>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</si>
  <si>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</si>
  <si>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</si>
  <si>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</si>
  <si>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</si>
  <si>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</si>
  <si>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</si>
  <si>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</si>
  <si>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</si>
  <si>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</si>
  <si>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</si>
  <si>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</si>
  <si>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</si>
  <si>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</si>
  <si>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</si>
  <si>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</si>
  <si>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</si>
  <si>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</si>
  <si>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</si>
  <si>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</si>
  <si>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</si>
  <si>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</si>
  <si>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</si>
  <si>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</si>
  <si>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</si>
  <si>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</si>
  <si>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</si>
  <si>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</si>
  <si>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</si>
  <si>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</si>
  <si>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</si>
  <si>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</si>
  <si>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</si>
  <si>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</si>
  <si>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</si>
  <si>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</si>
  <si>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</si>
  <si>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</si>
  <si>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</si>
  <si>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</si>
  <si>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</si>
  <si>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</si>
  <si>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</si>
  <si>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</si>
  <si>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</si>
  <si>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</si>
  <si>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</si>
  <si>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</si>
  <si>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</si>
  <si>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</si>
  <si>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</si>
  <si>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</si>
  <si>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</si>
  <si>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</si>
  <si>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</si>
  <si>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</si>
  <si>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</si>
  <si>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</si>
  <si>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</si>
  <si>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</si>
  <si>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</si>
  <si>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</si>
  <si>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</si>
  <si>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</si>
  <si>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</si>
  <si>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</si>
  <si>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</si>
  <si>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</si>
  <si>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</si>
  <si>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</si>
  <si>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</si>
  <si>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</si>
  <si>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</si>
  <si>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</si>
  <si>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</si>
  <si>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</si>
  <si>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</si>
  <si>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</si>
  <si>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</si>
  <si>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</si>
  <si>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</si>
  <si>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</si>
  <si>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</si>
  <si>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</si>
  <si>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</si>
  <si>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</si>
  <si>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</si>
  <si>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</si>
  <si>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</si>
  <si>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</si>
  <si>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</si>
  <si>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</si>
  <si>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</si>
  <si>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</si>
  <si>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</si>
  <si>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</si>
  <si>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</si>
  <si>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</si>
  <si>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</si>
  <si>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</si>
  <si>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</si>
  <si>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</si>
  <si>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</si>
  <si>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</si>
  <si>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</si>
  <si>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</si>
  <si>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</si>
  <si>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</si>
  <si>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</si>
  <si>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</si>
  <si>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</si>
  <si>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</si>
  <si>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</si>
  <si>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</si>
  <si>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</si>
  <si>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</si>
  <si>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</si>
  <si>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</si>
  <si>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</si>
  <si>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</si>
  <si>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</si>
  <si>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</si>
  <si>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</si>
  <si>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</si>
  <si>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</si>
  <si>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</si>
  <si>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</si>
  <si>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</si>
  <si>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</si>
  <si>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</si>
  <si>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</si>
  <si>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</si>
  <si>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</si>
  <si>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</si>
  <si>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</si>
  <si>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</si>
  <si>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</si>
  <si>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</si>
  <si>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</si>
  <si>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</si>
  <si>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</si>
  <si>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</si>
  <si>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</si>
  <si>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</si>
  <si>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</si>
  <si>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</si>
  <si>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</si>
  <si>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</si>
  <si>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</si>
  <si>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</si>
  <si>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</si>
  <si>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</si>
  <si>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</si>
  <si>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</si>
  <si>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</si>
  <si>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</si>
  <si>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</si>
  <si>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</si>
  <si>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</si>
  <si>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</si>
  <si>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</si>
  <si>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</si>
  <si>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</si>
  <si>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</si>
  <si>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</si>
  <si>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</si>
  <si>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</si>
  <si>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</si>
  <si>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</si>
  <si>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</si>
  <si>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</si>
  <si>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</si>
  <si>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</si>
  <si>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</si>
  <si>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</si>
  <si>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</si>
  <si>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</si>
  <si>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</si>
  <si>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</si>
  <si>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</si>
  <si>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</si>
  <si>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</si>
  <si>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</si>
  <si>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</si>
  <si>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</si>
  <si>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</si>
  <si>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</si>
  <si>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</si>
  <si>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</si>
  <si>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</si>
  <si>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</si>
  <si>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</si>
  <si>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</si>
  <si>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</si>
  <si>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</si>
  <si>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</si>
  <si>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</si>
  <si>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</si>
  <si>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</si>
  <si>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</si>
  <si>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</si>
  <si>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</si>
  <si>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</si>
  <si>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</si>
  <si>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</si>
  <si>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</si>
  <si>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</si>
  <si>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</si>
  <si>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</si>
  <si>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</si>
  <si>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</si>
  <si>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</si>
  <si>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</si>
  <si>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</si>
  <si>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</si>
  <si>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</si>
  <si>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</si>
  <si>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</si>
  <si>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</si>
  <si>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</si>
  <si>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</si>
  <si>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</si>
  <si>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</si>
  <si>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</si>
  <si>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</si>
  <si>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</si>
  <si>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</si>
  <si>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</si>
  <si>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</si>
  <si>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</si>
  <si>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</si>
  <si>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</si>
  <si>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</si>
  <si>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</si>
  <si>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</si>
  <si>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</si>
  <si>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</si>
  <si>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</si>
  <si>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</si>
  <si>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</si>
  <si>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</si>
  <si>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</si>
  <si>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</si>
  <si>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</si>
  <si>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</si>
  <si>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</si>
  <si>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</si>
  <si>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</si>
  <si>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</si>
  <si>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</si>
  <si>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</si>
  <si>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</si>
  <si>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</si>
  <si>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</si>
  <si>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</si>
  <si>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</si>
  <si>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</si>
  <si>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</si>
  <si>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</si>
  <si>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</si>
  <si>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</si>
  <si>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</si>
  <si>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</si>
  <si>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</si>
  <si>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</si>
  <si>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</si>
  <si>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</si>
  <si>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</si>
  <si>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</si>
  <si>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</si>
  <si>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</si>
  <si>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</si>
  <si>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</si>
  <si>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</si>
  <si>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</si>
  <si>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</si>
  <si>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</si>
  <si>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</si>
  <si>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</si>
  <si>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</si>
  <si>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</si>
  <si>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</si>
  <si>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</si>
  <si>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</si>
  <si>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</si>
  <si>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</si>
  <si>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</si>
  <si>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</si>
  <si>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</si>
  <si>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</si>
  <si>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</si>
  <si>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</si>
  <si>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</si>
  <si>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</si>
  <si>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</si>
  <si>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</si>
  <si>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</si>
  <si>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</si>
  <si>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</si>
  <si>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</si>
  <si>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</si>
  <si>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</si>
  <si>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</si>
  <si>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</si>
  <si>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</si>
  <si>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</si>
  <si>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</si>
  <si>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</si>
  <si>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</si>
  <si>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</si>
  <si>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</si>
  <si>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</si>
  <si>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</si>
  <si>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</si>
  <si>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</si>
  <si>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</si>
  <si>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</si>
  <si>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</si>
  <si>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</si>
  <si>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</si>
  <si>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</si>
  <si>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</si>
  <si>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</si>
  <si>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</si>
  <si>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</si>
  <si>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</si>
  <si>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</si>
  <si>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</si>
  <si>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</si>
  <si>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</si>
  <si>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</si>
  <si>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</si>
  <si>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</si>
  <si>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</si>
  <si>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</si>
  <si>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</si>
  <si>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</si>
  <si>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</si>
  <si>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</si>
  <si>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</si>
  <si>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</si>
  <si>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</si>
  <si>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</si>
  <si>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</si>
  <si>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</si>
  <si>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</si>
  <si>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</si>
  <si>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</si>
  <si>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</si>
  <si>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</si>
  <si>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</si>
  <si>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</si>
  <si>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</si>
  <si>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</si>
  <si>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</si>
  <si>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</si>
  <si>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</si>
  <si>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</si>
  <si>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</si>
  <si>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</si>
  <si>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</si>
  <si>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</si>
  <si>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</si>
  <si>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</si>
  <si>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</si>
  <si>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</si>
  <si>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</si>
  <si>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</si>
  <si>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</si>
  <si>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</si>
  <si>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</si>
  <si>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</si>
  <si>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</si>
  <si>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</si>
  <si>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</si>
  <si>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</si>
  <si>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</si>
  <si>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</si>
  <si>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</si>
  <si>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</si>
  <si>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</si>
  <si>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</si>
  <si>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</si>
  <si>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</si>
  <si>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</si>
  <si>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</si>
  <si>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</si>
  <si>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</si>
  <si>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</si>
  <si>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</si>
  <si>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</si>
  <si>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</si>
  <si>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</si>
  <si>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</si>
  <si>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</si>
  <si>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</si>
  <si>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</si>
  <si>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</si>
  <si>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</si>
  <si>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</si>
  <si>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</si>
  <si>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</si>
  <si>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</si>
  <si>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</si>
  <si>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</si>
  <si>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</si>
  <si>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</si>
  <si>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</si>
  <si>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</si>
  <si>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</si>
  <si>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</si>
  <si>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</si>
  <si>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</si>
  <si>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</si>
  <si>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</si>
  <si>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</si>
  <si>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</si>
  <si>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</si>
  <si>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</si>
  <si>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</si>
  <si>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</si>
  <si>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</si>
  <si>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</si>
  <si>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</si>
  <si>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</si>
  <si>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</si>
  <si>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</si>
  <si>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</si>
  <si>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</si>
  <si>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</si>
  <si>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</si>
  <si>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</si>
  <si>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</si>
  <si>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</si>
  <si>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</si>
  <si>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</si>
  <si>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</si>
  <si>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</si>
  <si>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</si>
  <si>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</si>
  <si>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</si>
  <si>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</si>
  <si>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</si>
  <si>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</si>
  <si>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</si>
  <si>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</si>
  <si>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</si>
  <si>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</si>
  <si>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</si>
  <si>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</si>
  <si>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</si>
  <si>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</si>
  <si>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</si>
  <si>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</si>
  <si>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</si>
  <si>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</si>
  <si>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</si>
  <si>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</si>
  <si>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</si>
  <si>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</si>
  <si>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</si>
  <si>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</si>
  <si>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</si>
  <si>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</si>
  <si>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</si>
  <si>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</si>
  <si>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</si>
  <si>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</si>
  <si>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</si>
  <si>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</si>
  <si>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</si>
  <si>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</si>
  <si>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</si>
  <si>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</si>
  <si>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</si>
  <si>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</si>
  <si>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</si>
  <si>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</si>
  <si>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</si>
  <si>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</si>
  <si>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</si>
  <si>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</si>
  <si>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</si>
  <si>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</si>
  <si>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</si>
  <si>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</si>
  <si>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</si>
  <si>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</si>
  <si>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</si>
  <si>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</si>
  <si>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</si>
  <si>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</si>
  <si>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</si>
  <si>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</si>
  <si>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</si>
  <si>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</si>
  <si>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</si>
  <si>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</si>
  <si>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</si>
  <si>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</si>
  <si>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</si>
  <si>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</si>
  <si>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</si>
  <si>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</si>
  <si>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</si>
  <si>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</si>
  <si>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</si>
  <si>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</si>
  <si>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</si>
  <si>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</si>
  <si>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</si>
  <si>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</si>
  <si>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</si>
  <si>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</si>
  <si>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</si>
  <si>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</si>
  <si>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</si>
  <si>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</si>
  <si>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</si>
  <si>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</si>
  <si>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</si>
  <si>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</si>
  <si>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</si>
  <si>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</si>
  <si>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</si>
  <si>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</si>
  <si>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</si>
  <si>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</si>
  <si>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</si>
  <si>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</si>
  <si>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</si>
  <si>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</si>
  <si>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</si>
  <si>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</si>
  <si>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</si>
  <si>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</si>
  <si>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</si>
  <si>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</si>
  <si>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</si>
  <si>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</si>
  <si>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</si>
  <si>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</si>
  <si>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</si>
  <si>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</si>
  <si>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</si>
  <si>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</si>
  <si>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</si>
  <si>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</si>
  <si>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</si>
  <si>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</si>
  <si>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</si>
  <si>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</si>
  <si>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</si>
  <si>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</si>
  <si>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</si>
  <si>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</si>
  <si>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</si>
  <si>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</si>
  <si>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</si>
  <si>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</si>
  <si>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</si>
  <si>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</si>
  <si>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</si>
  <si>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</si>
  <si>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</si>
  <si>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</si>
  <si>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</si>
  <si>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</si>
  <si>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</si>
  <si>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</si>
  <si>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</si>
  <si>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</si>
  <si>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</si>
  <si>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</si>
  <si>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</si>
  <si>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</si>
  <si>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</si>
  <si>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</si>
  <si>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</si>
  <si>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</si>
  <si>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</si>
  <si>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</si>
  <si>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</si>
  <si>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</si>
  <si>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</si>
  <si>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</si>
  <si>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</si>
  <si>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</si>
  <si>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</si>
  <si>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</si>
  <si>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</si>
  <si>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</si>
  <si>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</si>
  <si>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</si>
  <si>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</si>
  <si>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</si>
  <si>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</si>
  <si>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</si>
  <si>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</si>
  <si>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</si>
  <si>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</si>
  <si>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</si>
  <si>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</si>
  <si>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</si>
  <si>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</si>
  <si>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</si>
  <si>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</si>
  <si>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</si>
  <si>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</si>
  <si>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</si>
  <si>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</si>
  <si>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</si>
  <si>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</si>
  <si>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</si>
  <si>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</si>
  <si>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</si>
  <si>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</si>
  <si>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</si>
  <si>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</si>
  <si>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</si>
  <si>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</si>
  <si>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</si>
  <si>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</si>
  <si>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</si>
  <si>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</si>
  <si>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</si>
  <si>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</si>
  <si>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</si>
  <si>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</si>
  <si>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</si>
  <si>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</si>
  <si>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</si>
  <si>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</si>
  <si>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</si>
  <si>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</si>
  <si>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</si>
  <si>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</si>
  <si>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</si>
  <si>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</si>
  <si>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</si>
  <si>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</si>
  <si>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</si>
  <si>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</si>
  <si>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</si>
  <si>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</si>
  <si>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</si>
  <si>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</si>
  <si>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</si>
  <si>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</si>
  <si>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</si>
  <si>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</si>
  <si>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</si>
  <si>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</si>
  <si>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</si>
  <si>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</si>
  <si>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</si>
  <si>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</si>
  <si>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</si>
  <si>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</si>
  <si>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</si>
  <si>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</si>
  <si>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</si>
  <si>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</si>
  <si>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</si>
  <si>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</si>
  <si>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</si>
  <si>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</si>
  <si>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</si>
  <si>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</si>
  <si>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</si>
  <si>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</si>
  <si>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</si>
  <si>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</si>
  <si>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</si>
  <si>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</si>
  <si>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</si>
  <si>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</si>
  <si>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</si>
  <si>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</si>
  <si>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</si>
  <si>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</si>
  <si>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</si>
  <si>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</si>
  <si>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</si>
  <si>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</si>
  <si>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</si>
  <si>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</si>
  <si>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</si>
  <si>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</si>
  <si>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</si>
  <si>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</si>
  <si>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</si>
  <si>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</si>
  <si>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</si>
  <si>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</si>
  <si>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</si>
  <si>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</si>
  <si>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</si>
  <si>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</si>
  <si>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</si>
  <si>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</si>
  <si>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</si>
  <si>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</si>
  <si>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</si>
  <si>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</si>
  <si>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</si>
  <si>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</si>
  <si>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</si>
  <si>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</si>
  <si>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</si>
  <si>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</si>
  <si>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</si>
  <si>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</si>
  <si>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</si>
  <si>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</si>
  <si>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</si>
  <si>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</si>
  <si>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</si>
  <si>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</si>
  <si>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</si>
  <si>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</si>
  <si>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</si>
  <si>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</si>
  <si>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</si>
  <si>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</si>
  <si>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</si>
  <si>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</si>
  <si>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</si>
  <si>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</si>
  <si>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</si>
  <si>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</si>
  <si>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</si>
  <si>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</si>
  <si>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</si>
  <si>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</si>
  <si>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</si>
  <si>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</si>
  <si>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</si>
  <si>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</si>
  <si>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</si>
  <si>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</si>
  <si>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</si>
  <si>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</si>
  <si>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</si>
  <si>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</si>
  <si>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</si>
  <si>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</si>
  <si>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</si>
  <si>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</si>
  <si>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</si>
  <si>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</si>
  <si>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</si>
  <si>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</si>
  <si>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</si>
  <si>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</si>
  <si>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</si>
  <si>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</si>
  <si>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</si>
  <si>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</si>
  <si>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</si>
  <si>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</si>
  <si>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</si>
  <si>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</si>
  <si>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</si>
  <si>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</si>
  <si>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</si>
  <si>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</si>
  <si>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</si>
  <si>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</si>
  <si>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</si>
  <si>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</si>
  <si>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</si>
  <si>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</si>
  <si>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</si>
  <si>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</si>
  <si>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</si>
  <si>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</si>
  <si>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</si>
  <si>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</si>
  <si>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</si>
  <si>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</si>
  <si>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</si>
  <si>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</si>
  <si>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</si>
  <si>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</si>
  <si>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</si>
  <si>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</si>
  <si>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</si>
  <si>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</si>
  <si>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</si>
  <si>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</si>
  <si>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</si>
  <si>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</si>
  <si>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</si>
  <si>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</si>
  <si>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</si>
  <si>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</si>
  <si>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</si>
  <si>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</si>
  <si>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</si>
  <si>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</si>
  <si>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</si>
  <si>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</si>
  <si>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</si>
  <si>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</si>
  <si>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</si>
  <si>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</si>
  <si>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</si>
  <si>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</si>
  <si>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</si>
  <si>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</si>
  <si>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</si>
  <si>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</si>
  <si>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</si>
  <si>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</si>
  <si>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</si>
  <si>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</si>
  <si>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</si>
  <si>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</si>
  <si>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</si>
  <si>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</si>
  <si>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</si>
  <si>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</si>
  <si>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</si>
  <si>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</si>
  <si>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</si>
  <si>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</si>
  <si>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</si>
  <si>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</si>
  <si>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</si>
  <si>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</si>
  <si>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</si>
  <si>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</si>
  <si>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</si>
  <si>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</si>
  <si>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</si>
  <si>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</si>
  <si>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</si>
  <si>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</si>
  <si>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</si>
  <si>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</si>
  <si>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</si>
  <si>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</si>
  <si>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</si>
  <si>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</si>
  <si>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</si>
  <si>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</si>
  <si>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</si>
  <si>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</si>
  <si>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</si>
  <si>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</si>
  <si>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</si>
  <si>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</si>
  <si>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</si>
  <si>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</si>
  <si>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</si>
  <si>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</si>
  <si>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</si>
  <si>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</si>
  <si>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</si>
  <si>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</si>
  <si>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</si>
  <si>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</si>
  <si>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</si>
  <si>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</si>
  <si>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</si>
  <si>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</si>
  <si>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</si>
  <si>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</si>
  <si>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</si>
  <si>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</si>
  <si>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</si>
  <si>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</si>
  <si>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</si>
  <si>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</si>
  <si>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</si>
  <si>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</si>
  <si>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</si>
  <si>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</si>
  <si>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</si>
  <si>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</si>
  <si>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</si>
  <si>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</si>
  <si>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</si>
  <si>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</si>
  <si>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</si>
  <si>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</si>
  <si>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</si>
  <si>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</si>
  <si>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</si>
  <si>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</si>
  <si>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</si>
  <si>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</si>
  <si>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</si>
  <si>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</si>
  <si>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</si>
  <si>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</si>
  <si>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</si>
  <si>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</si>
  <si>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</si>
  <si>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</si>
  <si>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</si>
  <si>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</si>
  <si>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</si>
  <si>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</si>
  <si>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</si>
  <si>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</si>
  <si>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</si>
  <si>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</si>
  <si>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</si>
  <si>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</si>
  <si>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</si>
  <si>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</si>
  <si>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</si>
  <si>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</si>
  <si>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</si>
  <si>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</si>
  <si>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</si>
  <si>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</si>
  <si>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</si>
  <si>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</si>
  <si>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</si>
  <si>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</si>
  <si>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</si>
  <si>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</si>
  <si>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</si>
  <si>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</si>
  <si>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</si>
  <si>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</si>
  <si>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</si>
  <si>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</si>
  <si>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</si>
  <si>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</si>
  <si>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</si>
  <si>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</si>
  <si>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</si>
  <si>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</si>
  <si>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</si>
  <si>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</si>
  <si>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</si>
  <si>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</si>
  <si>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</si>
  <si>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</si>
  <si>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</si>
  <si>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</si>
  <si>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</si>
  <si>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</si>
  <si>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</si>
  <si>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</si>
  <si>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</si>
  <si>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</si>
  <si>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</si>
  <si>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</si>
  <si>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</si>
  <si>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</si>
  <si>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</si>
  <si>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</si>
  <si>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</si>
  <si>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</si>
  <si>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</si>
  <si>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</si>
  <si>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</si>
  <si>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</si>
  <si>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</si>
  <si>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</si>
  <si>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</si>
  <si>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</si>
  <si>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</si>
  <si>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</si>
  <si>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</si>
  <si>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</si>
  <si>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</si>
  <si>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</si>
  <si>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</si>
  <si>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</si>
  <si>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</si>
  <si>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</si>
  <si>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</si>
  <si>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</si>
  <si>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</si>
  <si>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</si>
  <si>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</si>
  <si>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</si>
  <si>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</si>
  <si>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</si>
  <si>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</si>
  <si>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</si>
  <si>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</si>
  <si>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</si>
  <si>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</si>
  <si>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</si>
  <si>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</si>
  <si>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</si>
  <si>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</si>
  <si>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</si>
  <si>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</si>
  <si>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</si>
  <si>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</si>
  <si>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</si>
  <si>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</si>
  <si>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</si>
  <si>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</si>
  <si>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</si>
  <si>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</si>
  <si>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</si>
  <si>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</si>
  <si>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</si>
  <si>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</si>
  <si>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</si>
  <si>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</si>
  <si>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</si>
  <si>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</si>
  <si>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</si>
  <si>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</si>
  <si>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</si>
  <si>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</si>
  <si>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</si>
  <si>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</si>
  <si>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</si>
  <si>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</si>
  <si>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</si>
  <si>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</si>
  <si>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</si>
  <si>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</si>
  <si>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</si>
  <si>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</si>
  <si>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</si>
  <si>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</si>
  <si>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</si>
  <si>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</si>
  <si>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</si>
  <si>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</si>
  <si>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</si>
  <si>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</si>
  <si>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</si>
  <si>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</si>
  <si>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</si>
  <si>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</si>
  <si>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</si>
  <si>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</si>
  <si>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</si>
  <si>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</si>
  <si>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</si>
  <si>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</si>
  <si>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</si>
  <si>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</si>
  <si>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</si>
  <si>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</si>
  <si>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</si>
  <si>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</si>
  <si>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</si>
  <si>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</si>
  <si>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</si>
  <si>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</si>
  <si>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</si>
  <si>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</si>
  <si>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</si>
  <si>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</si>
  <si>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</si>
  <si>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</si>
  <si>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</si>
  <si>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</si>
  <si>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</si>
  <si>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</si>
  <si>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</si>
  <si>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</si>
  <si>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</si>
  <si>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</si>
  <si>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</si>
  <si>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</si>
  <si>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</si>
  <si>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</si>
  <si>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</si>
  <si>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</si>
  <si>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</si>
  <si>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</si>
  <si>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</si>
  <si>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</si>
  <si>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</si>
  <si>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</si>
  <si>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</si>
  <si>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</si>
  <si>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</si>
  <si>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</si>
  <si>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</si>
  <si>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</si>
  <si>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</si>
  <si>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</si>
  <si>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</si>
  <si>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</si>
  <si>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</si>
  <si>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</si>
  <si>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</si>
  <si>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</si>
  <si>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</si>
  <si>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</si>
  <si>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</si>
  <si>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</si>
  <si>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</si>
  <si>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</si>
  <si>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</si>
  <si>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</si>
  <si>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</si>
  <si>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</si>
  <si>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</si>
  <si>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</si>
  <si>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</si>
  <si>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</si>
  <si>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</si>
  <si>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</si>
  <si>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</si>
  <si>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</si>
  <si>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</si>
  <si>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</si>
  <si>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</si>
  <si>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</si>
  <si>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</si>
  <si>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</si>
  <si>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</si>
  <si>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</si>
  <si>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</si>
  <si>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</si>
  <si>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</si>
  <si>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</si>
  <si>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</si>
  <si>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</si>
  <si>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</si>
  <si>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</si>
  <si>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</si>
  <si>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</si>
  <si>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</si>
  <si>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</si>
  <si>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</si>
  <si>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</si>
  <si>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</si>
  <si>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</si>
  <si>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</si>
  <si>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</si>
  <si>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</si>
  <si>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</si>
  <si>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</si>
  <si>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</si>
  <si>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</si>
  <si>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</si>
  <si>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</si>
  <si>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</si>
  <si>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</si>
  <si>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</si>
  <si>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</si>
  <si>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</si>
  <si>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</si>
  <si>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</si>
  <si>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</si>
  <si>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</si>
  <si>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</si>
  <si>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</si>
  <si>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</si>
  <si>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</si>
  <si>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</si>
  <si>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</si>
  <si>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</si>
  <si>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</si>
  <si>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</si>
  <si>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</si>
  <si>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</si>
  <si>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</si>
  <si>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</si>
  <si>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</si>
  <si>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</si>
  <si>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</si>
  <si>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</si>
  <si>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</si>
  <si>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</si>
  <si>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</si>
  <si>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</si>
  <si>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</si>
  <si>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</si>
  <si>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</si>
  <si>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</si>
  <si>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</si>
  <si>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</si>
  <si>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</si>
  <si>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</si>
  <si>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</si>
  <si>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</si>
  <si>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</si>
  <si>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</si>
  <si>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</si>
  <si>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</si>
  <si>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</si>
  <si>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</si>
  <si>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</si>
  <si>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</si>
  <si>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</si>
  <si>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</si>
  <si>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</si>
  <si>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</si>
  <si>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</si>
  <si>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</si>
  <si>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</si>
  <si>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</si>
  <si>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</si>
  <si>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</si>
  <si>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</si>
  <si>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</si>
  <si>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</si>
  <si>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</si>
  <si>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</si>
  <si>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</si>
  <si>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</si>
  <si>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</si>
  <si>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</si>
  <si>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</si>
  <si>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</si>
  <si>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</si>
  <si>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</si>
  <si>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</si>
  <si>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</si>
  <si>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</si>
  <si>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</si>
  <si>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</si>
  <si>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</si>
  <si>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</si>
  <si>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</si>
  <si>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</si>
  <si>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</si>
  <si>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</si>
  <si>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</si>
  <si>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</si>
  <si>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</si>
  <si>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</si>
  <si>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</si>
  <si>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</si>
  <si>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</si>
  <si>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</si>
  <si>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</si>
  <si>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</si>
  <si>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</si>
  <si>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</si>
  <si>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</si>
  <si>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</si>
  <si>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</si>
  <si>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</si>
  <si>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</si>
  <si>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</si>
  <si>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</si>
  <si>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</si>
  <si>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</si>
  <si>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</si>
  <si>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</si>
  <si>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</si>
  <si>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</si>
  <si>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</si>
  <si>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</si>
  <si>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</si>
  <si>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</si>
  <si>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</si>
  <si>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</si>
  <si>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</si>
  <si>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</si>
  <si>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</si>
  <si>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</si>
  <si>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</si>
  <si>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</si>
  <si>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</si>
  <si>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</si>
  <si>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</si>
  <si>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</si>
  <si>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</si>
  <si>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</si>
  <si>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</si>
  <si>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</si>
  <si>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</si>
  <si>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</si>
  <si>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</si>
  <si>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</si>
  <si>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</si>
  <si>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</si>
  <si>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</si>
  <si>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</si>
  <si>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</si>
  <si>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</si>
  <si>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</si>
  <si>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</si>
  <si>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</si>
  <si>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</si>
  <si>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</si>
  <si>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</si>
  <si>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</si>
  <si>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</si>
  <si>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</si>
  <si>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</si>
  <si>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</si>
  <si>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</si>
  <si>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</si>
  <si>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</si>
  <si>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</si>
  <si>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</si>
  <si>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</si>
  <si>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</si>
  <si>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</si>
  <si>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</si>
  <si>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</si>
  <si>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</si>
  <si>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</si>
  <si>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</si>
  <si>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</si>
  <si>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</si>
  <si>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</si>
  <si>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</si>
  <si>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</si>
  <si>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</si>
  <si>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</si>
  <si>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</si>
  <si>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</si>
  <si>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</si>
  <si>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</si>
  <si>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</si>
  <si>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</si>
  <si>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</si>
  <si>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</si>
  <si>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</si>
  <si>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</si>
  <si>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</si>
  <si>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</si>
  <si>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</si>
  <si>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</si>
  <si>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</si>
  <si>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</si>
  <si>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</si>
  <si>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</si>
  <si>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</si>
  <si>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</si>
  <si>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</si>
  <si>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</si>
  <si>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</si>
  <si>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</si>
  <si>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</si>
  <si>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</si>
  <si>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</si>
  <si>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</si>
  <si>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</si>
  <si>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</si>
  <si>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</si>
  <si>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</si>
  <si>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</si>
  <si>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</si>
  <si>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</si>
  <si>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</si>
  <si>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</si>
  <si>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</si>
  <si>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</si>
  <si>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</si>
  <si>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</si>
  <si>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</si>
  <si>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</si>
  <si>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</si>
  <si>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</si>
  <si>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</si>
  <si>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</si>
  <si>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</si>
  <si>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</si>
  <si>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</si>
  <si>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</si>
  <si>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</si>
  <si>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</si>
  <si>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</si>
  <si>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</si>
  <si>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</si>
  <si>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</si>
  <si>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</si>
  <si>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</si>
  <si>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</si>
  <si>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</si>
  <si>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</si>
  <si>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</si>
  <si>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</si>
  <si>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</si>
  <si>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</si>
  <si>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</si>
  <si>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</si>
  <si>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</si>
  <si>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</si>
  <si>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</si>
  <si>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</si>
  <si>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</si>
  <si>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</si>
  <si>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</si>
  <si>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</si>
  <si>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</si>
  <si>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</si>
  <si>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</si>
  <si>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</si>
  <si>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</si>
  <si>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</si>
  <si>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</si>
  <si>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</si>
  <si>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</si>
  <si>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</si>
  <si>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</si>
  <si>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</si>
  <si>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</si>
  <si>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</si>
  <si>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</si>
  <si>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</si>
  <si>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</si>
  <si>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</si>
  <si>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</si>
  <si>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</si>
  <si>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</si>
  <si>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</si>
  <si>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</si>
  <si>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</si>
  <si>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</si>
  <si>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</si>
  <si>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</si>
  <si>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</si>
  <si>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</si>
  <si>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</si>
  <si>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</si>
  <si>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</si>
  <si>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</si>
  <si>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</si>
  <si>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</si>
  <si>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</si>
  <si>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</si>
  <si>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</si>
  <si>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</si>
  <si>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</si>
  <si>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</si>
  <si>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</si>
  <si>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</si>
  <si>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</si>
  <si>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</si>
  <si>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</si>
  <si>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</si>
  <si>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</si>
  <si>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</si>
  <si>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</si>
  <si>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</si>
  <si>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</si>
  <si>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</si>
  <si>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</si>
  <si>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</si>
  <si>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</si>
  <si>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</si>
  <si>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</si>
  <si>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</si>
  <si>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</si>
  <si>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</si>
  <si>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</si>
  <si>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</si>
  <si>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</si>
  <si>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</si>
  <si>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</si>
  <si>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</si>
  <si>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</si>
  <si>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</si>
  <si>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</si>
  <si>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</si>
  <si>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</si>
  <si>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</si>
  <si>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</si>
  <si>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</si>
  <si>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</si>
  <si>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</si>
  <si>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</si>
  <si>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</si>
  <si>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</si>
  <si>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</si>
  <si>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</si>
  <si>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</si>
  <si>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</si>
  <si>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</si>
  <si>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</si>
  <si>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</si>
  <si>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</si>
  <si>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</si>
  <si>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</si>
  <si>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</si>
  <si>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</si>
  <si>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</si>
  <si>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</si>
  <si>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</si>
  <si>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</si>
  <si>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</si>
  <si>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</si>
  <si>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</si>
  <si>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</si>
  <si>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</si>
  <si>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</si>
  <si>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</si>
  <si>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</si>
  <si>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</si>
  <si>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</si>
  <si>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</si>
  <si>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</si>
  <si>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</si>
  <si>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</si>
  <si>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</si>
  <si>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</si>
  <si>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</si>
  <si>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</si>
  <si>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</si>
  <si>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</si>
  <si>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</si>
  <si>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</si>
  <si>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</si>
  <si>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</si>
  <si>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</si>
  <si>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</si>
  <si>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</si>
  <si>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</si>
  <si>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</si>
  <si>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</si>
  <si>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</si>
  <si>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</si>
  <si>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</si>
  <si>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</si>
  <si>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</si>
  <si>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</si>
  <si>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</si>
  <si>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</si>
  <si>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</si>
  <si>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</si>
  <si>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</si>
  <si>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</si>
  <si>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</si>
  <si>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</si>
  <si>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</si>
  <si>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</si>
  <si>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</si>
  <si>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</si>
  <si>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</si>
  <si>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</si>
  <si>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</si>
  <si>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</si>
  <si>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</si>
  <si>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</si>
  <si>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</si>
  <si>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</si>
  <si>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</si>
  <si>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</si>
  <si>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</si>
  <si>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</si>
  <si>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</si>
  <si>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</si>
  <si>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</si>
  <si>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</si>
  <si>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</si>
  <si>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</si>
  <si>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</si>
  <si>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</si>
  <si>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</si>
  <si>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</si>
  <si>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</si>
  <si>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</si>
  <si>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</si>
  <si>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</si>
  <si>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</si>
  <si>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</si>
  <si>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</si>
  <si>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</si>
  <si>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</si>
  <si>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</si>
  <si>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</si>
  <si>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</si>
  <si>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</si>
  <si>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</si>
  <si>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</si>
  <si>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</si>
  <si>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</si>
  <si>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</si>
  <si>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</si>
  <si>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</si>
  <si>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</si>
  <si>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</si>
  <si>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</si>
  <si>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</si>
  <si>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</si>
  <si>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</si>
  <si>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</si>
  <si>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</si>
  <si>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</si>
  <si>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</si>
  <si>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</si>
  <si>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</si>
  <si>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</si>
  <si>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</si>
  <si>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</si>
  <si>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</si>
  <si>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</si>
  <si>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</si>
  <si>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</si>
  <si>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</si>
  <si>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</si>
  <si>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</si>
  <si>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</si>
  <si>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</si>
  <si>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</si>
  <si>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</si>
  <si>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</si>
  <si>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</si>
  <si>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</si>
  <si>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</si>
  <si>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</si>
  <si>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</si>
  <si>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</si>
  <si>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</si>
  <si>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</si>
  <si>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</si>
  <si>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</si>
  <si>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</si>
  <si>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</si>
  <si>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</si>
  <si>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</si>
  <si>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</si>
  <si>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</si>
  <si>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</si>
  <si>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</si>
  <si>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</si>
  <si>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</si>
  <si>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</si>
  <si>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</si>
  <si>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</si>
  <si>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</si>
  <si>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</si>
  <si>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</si>
  <si>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</si>
  <si>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</si>
  <si>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</si>
  <si>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</si>
  <si>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</si>
  <si>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</si>
  <si>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</si>
  <si>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</si>
  <si>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</si>
  <si>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</si>
  <si>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</si>
  <si>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</si>
  <si>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</si>
  <si>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</si>
  <si>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</si>
  <si>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</si>
  <si>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</si>
  <si>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</si>
  <si>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</si>
  <si>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</si>
  <si>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</si>
  <si>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</si>
  <si>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</si>
  <si>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</si>
  <si>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</si>
  <si>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</si>
  <si>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</si>
  <si>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</si>
  <si>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</si>
  <si>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</si>
  <si>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</si>
  <si>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</si>
  <si>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</si>
  <si>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</si>
  <si>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</si>
  <si>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</si>
  <si>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</si>
  <si>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</si>
  <si>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</si>
  <si>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</si>
  <si>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</si>
  <si>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</si>
  <si>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</si>
  <si>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</si>
  <si>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</si>
  <si>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</si>
  <si>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</si>
  <si>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</si>
  <si>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</si>
  <si>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</si>
  <si>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</si>
  <si>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</si>
  <si>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</si>
  <si>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</si>
  <si>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</si>
  <si>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</si>
  <si>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</si>
  <si>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</si>
  <si>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</si>
  <si>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</si>
  <si>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</si>
  <si>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</si>
  <si>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</si>
  <si>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</si>
  <si>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</si>
  <si>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</si>
  <si>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</si>
  <si>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</si>
  <si>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</si>
  <si>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</si>
  <si>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</si>
  <si>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</si>
  <si>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</si>
  <si>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</si>
  <si>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</si>
  <si>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</si>
  <si>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</si>
  <si>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</si>
  <si>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</si>
  <si>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</si>
  <si>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</si>
  <si>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</si>
  <si>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</si>
  <si>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</si>
  <si>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</si>
  <si>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</si>
  <si>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</si>
  <si>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</si>
  <si>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</si>
  <si>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</si>
  <si>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</si>
  <si>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</si>
  <si>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</si>
  <si>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</si>
  <si>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</si>
  <si>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</si>
  <si>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</si>
  <si>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</si>
  <si>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</si>
  <si>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</si>
  <si>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</si>
  <si>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</si>
  <si>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</si>
  <si>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</si>
  <si>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</si>
  <si>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</si>
  <si>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</si>
  <si>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</si>
  <si>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</si>
  <si>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</si>
  <si>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</si>
  <si>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</si>
  <si>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</si>
  <si>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</si>
  <si>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</si>
  <si>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</si>
  <si>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</si>
  <si>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</si>
  <si>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</si>
  <si>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</si>
  <si>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</si>
  <si>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</si>
  <si>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</si>
  <si>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</si>
  <si>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</si>
  <si>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</si>
  <si>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</si>
  <si>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</si>
  <si>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</si>
  <si>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</si>
  <si>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</si>
  <si>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</si>
  <si>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</si>
  <si>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</si>
  <si>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</si>
  <si>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</si>
  <si>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</si>
  <si>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</si>
  <si>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</si>
  <si>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</si>
  <si>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</si>
  <si>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</si>
  <si>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</si>
  <si>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</si>
  <si>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</si>
  <si>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</si>
  <si>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</si>
  <si>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</si>
  <si>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</si>
  <si>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</si>
  <si>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</si>
  <si>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</si>
  <si>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</si>
  <si>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</si>
  <si>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</si>
  <si>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</si>
  <si>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</si>
  <si>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</si>
  <si>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</si>
  <si>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</si>
  <si>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</si>
  <si>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</si>
  <si>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</si>
  <si>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</si>
  <si>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</si>
  <si>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</si>
  <si>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</si>
  <si>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</si>
  <si>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</si>
  <si>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</si>
  <si>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</si>
  <si>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</si>
  <si>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</si>
  <si>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</si>
  <si>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</si>
  <si>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</si>
  <si>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</si>
  <si>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</si>
  <si>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</si>
  <si>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</si>
  <si>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</si>
  <si>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</si>
  <si>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</si>
  <si>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</si>
  <si>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</si>
  <si>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</si>
  <si>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</si>
  <si>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</si>
  <si>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</si>
  <si>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</si>
  <si>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</si>
  <si>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</si>
  <si>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</si>
  <si>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</si>
  <si>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</si>
  <si>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</si>
  <si>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</si>
  <si>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</si>
  <si>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</si>
  <si>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</si>
  <si>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</si>
  <si>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</si>
  <si>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</si>
  <si>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</si>
  <si>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</si>
  <si>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</si>
  <si>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</si>
  <si>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</si>
  <si>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</si>
  <si>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</si>
  <si>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</si>
  <si>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</si>
  <si>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</si>
  <si>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</si>
  <si>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</si>
  <si>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</si>
  <si>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</si>
  <si>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</si>
  <si>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</si>
  <si>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</si>
  <si>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</si>
  <si>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</si>
  <si>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</si>
  <si>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</si>
  <si>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</si>
  <si>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</si>
  <si>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</si>
  <si>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</si>
  <si>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</si>
  <si>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</si>
  <si>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</si>
  <si>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</si>
  <si>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</si>
  <si>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</si>
  <si>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</si>
  <si>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</si>
  <si>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</si>
  <si>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</si>
  <si>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</si>
  <si>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</si>
  <si>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</si>
  <si>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</si>
  <si>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</si>
  <si>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</si>
  <si>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</si>
  <si>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</si>
  <si>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</si>
  <si>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</si>
  <si>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</si>
  <si>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</si>
  <si>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</si>
  <si>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</si>
  <si>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</si>
  <si>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</si>
  <si>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</si>
  <si>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</si>
  <si>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</si>
  <si>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</si>
  <si>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</si>
  <si>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</si>
  <si>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</si>
  <si>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</si>
  <si>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</si>
  <si>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</si>
  <si>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</si>
  <si>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</si>
  <si>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</si>
  <si>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</si>
  <si>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</si>
  <si>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</si>
  <si>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</si>
  <si>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</si>
  <si>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</si>
  <si>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</si>
  <si>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</si>
  <si>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</si>
  <si>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</si>
  <si>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</si>
  <si>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</si>
  <si>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</si>
  <si>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</si>
  <si>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</si>
  <si>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</si>
  <si>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</si>
  <si>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</si>
  <si>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</si>
  <si>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</si>
  <si>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</si>
  <si>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</si>
  <si>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</si>
  <si>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</si>
  <si>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</si>
  <si>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</si>
  <si>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</si>
  <si>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</si>
  <si>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</si>
  <si>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</si>
  <si>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</si>
  <si>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</si>
  <si>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</si>
  <si>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</si>
  <si>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</si>
  <si>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</si>
  <si>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</si>
  <si>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</si>
  <si>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</si>
  <si>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</si>
  <si>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</si>
  <si>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</si>
  <si>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</si>
  <si>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</si>
  <si>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</si>
  <si>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</si>
  <si>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</si>
  <si>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</si>
  <si>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</si>
  <si>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</si>
  <si>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</si>
  <si>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</si>
  <si>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</si>
  <si>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</si>
  <si>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</si>
  <si>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</si>
  <si>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</si>
  <si>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</si>
  <si>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</si>
  <si>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</si>
  <si>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</si>
  <si>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</si>
  <si>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</si>
  <si>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</si>
  <si>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</si>
  <si>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</si>
  <si>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</si>
  <si>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</si>
  <si>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</si>
  <si>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</si>
  <si>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</si>
  <si>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</si>
  <si>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</si>
  <si>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</si>
  <si>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</si>
  <si>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</si>
  <si>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</si>
  <si>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</si>
  <si>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</si>
  <si>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</si>
  <si>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</si>
  <si>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</si>
  <si>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</si>
  <si>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</si>
  <si>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</si>
  <si>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</si>
  <si>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</si>
  <si>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</si>
  <si>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</si>
  <si>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</si>
  <si>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</si>
  <si>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</si>
  <si>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</si>
  <si>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</si>
  <si>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</si>
  <si>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</si>
  <si>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</si>
  <si>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</si>
  <si>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</si>
  <si>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</si>
  <si>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</si>
  <si>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</si>
  <si>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</si>
  <si>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</si>
  <si>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</si>
  <si>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</si>
  <si>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</si>
  <si>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</si>
  <si>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</si>
  <si>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</si>
  <si>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</si>
  <si>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</si>
  <si>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</si>
  <si>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</si>
  <si>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</si>
  <si>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</si>
  <si>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</si>
  <si>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</si>
  <si>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</si>
  <si>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</si>
  <si>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</si>
  <si>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</si>
  <si>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</si>
  <si>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</si>
  <si>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</si>
  <si>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</si>
  <si>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</si>
  <si>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</si>
  <si>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</si>
  <si>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</si>
  <si>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</si>
  <si>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</si>
  <si>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</si>
  <si>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</si>
  <si>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</si>
  <si>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</si>
  <si>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</si>
  <si>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</si>
  <si>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</si>
  <si>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</si>
  <si>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</si>
  <si>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</si>
  <si>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</si>
  <si>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</si>
  <si>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</si>
  <si>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</si>
  <si>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</si>
  <si>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</si>
  <si>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</si>
  <si>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</si>
  <si>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</si>
  <si>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</si>
  <si>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</si>
  <si>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</si>
  <si>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</si>
  <si>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</si>
  <si>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</si>
  <si>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</si>
  <si>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</si>
  <si>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</si>
  <si>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</si>
  <si>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</si>
  <si>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</si>
  <si>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</si>
  <si>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</si>
  <si>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</si>
  <si>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</si>
  <si>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</si>
  <si>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</si>
  <si>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</si>
  <si>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</si>
  <si>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</si>
  <si>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</si>
  <si>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</si>
  <si>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</si>
  <si>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</si>
  <si>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</si>
  <si>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</si>
  <si>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</si>
  <si>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</si>
  <si>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</si>
  <si>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</si>
  <si>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</si>
  <si>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</si>
  <si>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</si>
  <si>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</si>
  <si>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</si>
  <si>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</si>
  <si>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</si>
  <si>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</si>
  <si>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</si>
  <si>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</si>
  <si>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</si>
  <si>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</si>
  <si>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</si>
  <si>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</si>
  <si>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</si>
  <si>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</si>
  <si>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</si>
  <si>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</si>
  <si>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</si>
  <si>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</si>
  <si>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</si>
  <si>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</si>
  <si>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</si>
  <si>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</si>
  <si>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</si>
  <si>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</si>
  <si>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</si>
  <si>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</si>
  <si>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</si>
  <si>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</si>
  <si>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</si>
  <si>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</si>
  <si>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</si>
  <si>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</si>
  <si>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</si>
  <si>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</si>
  <si>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</si>
  <si>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</si>
  <si>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</si>
  <si>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</si>
  <si>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</si>
  <si>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</si>
  <si>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</si>
  <si>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</si>
  <si>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</si>
  <si>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</si>
  <si>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</si>
  <si>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</si>
  <si>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</si>
  <si>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</si>
  <si>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</si>
  <si>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</si>
  <si>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</si>
  <si>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</si>
  <si>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</si>
  <si>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</si>
  <si>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</si>
  <si>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</si>
  <si>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</si>
  <si>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</si>
  <si>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</si>
  <si>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</si>
  <si>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</si>
  <si>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</si>
  <si>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</si>
  <si>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</si>
  <si>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</si>
  <si>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</si>
  <si>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</si>
  <si>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</si>
  <si>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</si>
  <si>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</si>
  <si>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</si>
  <si>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</si>
  <si>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</si>
  <si>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</si>
  <si>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</si>
  <si>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</si>
  <si>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</si>
  <si>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</si>
  <si>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</si>
  <si>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</si>
  <si>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</si>
  <si>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</si>
  <si>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</si>
  <si>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</si>
  <si>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</si>
  <si>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</si>
  <si>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</si>
  <si>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</si>
  <si>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</si>
  <si>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</si>
  <si>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</si>
  <si>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</si>
  <si>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</si>
  <si>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</si>
  <si>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</si>
  <si>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</si>
  <si>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</si>
  <si>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</si>
  <si>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</si>
  <si>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</si>
  <si>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</si>
  <si>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</si>
  <si>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</si>
  <si>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</si>
  <si>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</si>
  <si>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</si>
  <si>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</si>
  <si>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</si>
  <si>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</si>
  <si>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</si>
  <si>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</si>
  <si>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</si>
  <si>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</si>
  <si>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</si>
  <si>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</si>
  <si>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</si>
  <si>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</si>
  <si>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</si>
  <si>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</si>
  <si>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</si>
  <si>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</si>
  <si>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</si>
  <si>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</si>
  <si>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</si>
  <si>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</si>
  <si>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</si>
  <si>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</si>
  <si>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</si>
  <si>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</si>
  <si>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</si>
  <si>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</si>
  <si>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</si>
  <si>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</si>
  <si>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</si>
  <si>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</si>
  <si>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</si>
  <si>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</si>
  <si>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</si>
  <si>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</si>
  <si>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</si>
  <si>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</si>
  <si>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</si>
  <si>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</si>
  <si>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</si>
  <si>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</si>
  <si>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</si>
  <si>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</si>
  <si>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</si>
  <si>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</si>
  <si>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</si>
  <si>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</si>
  <si>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</si>
  <si>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</si>
  <si>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</si>
  <si>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</si>
  <si>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</si>
  <si>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</si>
  <si>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</si>
  <si>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</si>
  <si>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</si>
  <si>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</si>
  <si>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</si>
  <si>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</si>
  <si>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</si>
  <si>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</si>
  <si>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</si>
  <si>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</si>
  <si>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</si>
  <si>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</si>
  <si>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</si>
  <si>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</si>
  <si>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</si>
  <si>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</si>
  <si>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</si>
  <si>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</si>
  <si>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</si>
  <si>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</si>
  <si>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</si>
  <si>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</si>
  <si>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</si>
  <si>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</si>
  <si>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</si>
  <si>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</si>
  <si>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</si>
  <si>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</si>
  <si>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</si>
  <si>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</si>
  <si>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</si>
  <si>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</si>
  <si>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</si>
  <si>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</si>
  <si>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</si>
  <si>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</si>
  <si>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</si>
  <si>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</si>
  <si>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</si>
  <si>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</si>
  <si>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</si>
  <si>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</si>
  <si>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</si>
  <si>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</si>
  <si>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</si>
  <si>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</si>
  <si>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</si>
  <si>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</si>
  <si>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</si>
  <si>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</si>
  <si>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</si>
  <si>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</si>
  <si>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</si>
  <si>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</si>
  <si>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</si>
  <si>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</si>
  <si>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</si>
  <si>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</si>
  <si>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</si>
  <si>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</si>
  <si>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</si>
  <si>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</si>
  <si>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</si>
  <si>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</si>
  <si>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</si>
  <si>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</si>
  <si>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</si>
  <si>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</si>
  <si>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</si>
  <si>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</si>
  <si>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</si>
  <si>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</si>
  <si>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</si>
  <si>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</si>
  <si>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</si>
  <si>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</si>
  <si>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</si>
  <si>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</si>
  <si>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</si>
  <si>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</si>
  <si>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</si>
  <si>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</si>
  <si>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</si>
  <si>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</si>
  <si>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</si>
  <si>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</si>
  <si>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</si>
  <si>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</si>
  <si>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</si>
  <si>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</si>
  <si>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</si>
  <si>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</si>
  <si>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</si>
  <si>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</si>
  <si>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</si>
  <si>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</si>
  <si>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</si>
  <si>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</si>
  <si>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</si>
  <si>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</si>
  <si>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</si>
  <si>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</si>
  <si>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</si>
  <si>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</si>
  <si>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</si>
  <si>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</si>
  <si>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</si>
  <si>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</si>
  <si>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</si>
  <si>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</si>
  <si>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</si>
  <si>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</si>
  <si>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</si>
  <si>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</si>
  <si>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</si>
  <si>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</si>
  <si>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</si>
  <si>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</si>
  <si>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</si>
  <si>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</si>
  <si>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</si>
  <si>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</si>
  <si>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</si>
  <si>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</si>
  <si>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</si>
  <si>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</si>
  <si>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</si>
  <si>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</si>
  <si>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</si>
  <si>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</si>
  <si>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</si>
  <si>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</si>
  <si>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</si>
  <si>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</si>
  <si>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</si>
  <si>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</si>
  <si>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</si>
  <si>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</si>
  <si>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</si>
  <si>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</si>
  <si>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</si>
  <si>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</si>
  <si>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</si>
  <si>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</si>
  <si>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</si>
  <si>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</si>
  <si>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</si>
  <si>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</si>
  <si>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</si>
  <si>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</si>
  <si>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</si>
  <si>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</si>
  <si>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</si>
  <si>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</si>
  <si>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</si>
  <si>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</si>
  <si>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</si>
  <si>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</si>
  <si>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</si>
  <si>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</si>
  <si>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</si>
  <si>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</si>
  <si>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</si>
  <si>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</si>
  <si>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</si>
  <si>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</si>
  <si>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</si>
  <si>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</si>
  <si>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</si>
  <si>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</si>
  <si>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</si>
  <si>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</si>
  <si>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</si>
  <si>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</si>
  <si>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</si>
  <si>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</si>
  <si>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</si>
  <si>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</si>
  <si>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</si>
  <si>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</si>
  <si>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</si>
  <si>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</si>
  <si>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</si>
  <si>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</si>
  <si>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</si>
  <si>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</si>
  <si>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</si>
  <si>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</si>
  <si>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</si>
  <si>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</si>
  <si>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</si>
  <si>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</si>
  <si>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</si>
  <si>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</si>
  <si>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</si>
  <si>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</si>
  <si>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</si>
  <si>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</si>
  <si>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</si>
  <si>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</si>
  <si>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</si>
  <si>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</si>
  <si>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</si>
  <si>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</si>
  <si>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</si>
  <si>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</si>
  <si>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</si>
  <si>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</si>
  <si>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</si>
  <si>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</si>
  <si>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</si>
  <si>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</si>
  <si>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</si>
  <si>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</si>
  <si>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</si>
  <si>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</si>
  <si>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</si>
  <si>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</si>
  <si>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</si>
  <si>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</si>
  <si>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</si>
  <si>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</si>
  <si>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</si>
  <si>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</si>
  <si>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</si>
  <si>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</si>
  <si>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</si>
  <si>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</si>
  <si>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</si>
  <si>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</si>
  <si>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</si>
  <si>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</si>
  <si>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</si>
  <si>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</si>
  <si>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</si>
  <si>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</si>
  <si>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</si>
  <si>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</si>
  <si>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</si>
  <si>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</si>
  <si>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</si>
  <si>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</si>
  <si>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</si>
  <si>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</si>
  <si>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</si>
  <si>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</si>
  <si>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</si>
  <si>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</si>
  <si>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</si>
  <si>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</si>
  <si>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</si>
  <si>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</si>
  <si>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</si>
  <si>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</si>
  <si>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</si>
  <si>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</si>
  <si>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</si>
  <si>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</si>
  <si>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</si>
  <si>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</si>
  <si>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</si>
  <si>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</si>
  <si>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</si>
  <si>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</si>
  <si>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</si>
  <si>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</si>
  <si>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</si>
  <si>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</si>
  <si>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</si>
  <si>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</si>
  <si>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</si>
  <si>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</si>
  <si>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</si>
  <si>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</si>
  <si>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</si>
  <si>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</si>
  <si>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</si>
  <si>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</si>
  <si>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</si>
  <si>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</si>
  <si>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</si>
  <si>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</si>
  <si>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</si>
  <si>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</si>
  <si>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</si>
  <si>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</si>
  <si>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</si>
  <si>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</si>
  <si>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</si>
  <si>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</si>
  <si>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</si>
  <si>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</si>
  <si>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</si>
  <si>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</si>
  <si>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</si>
  <si>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</si>
  <si>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</si>
  <si>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</si>
  <si>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</si>
  <si>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</si>
  <si>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</si>
  <si>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</si>
  <si>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</si>
  <si>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</si>
  <si>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</si>
  <si>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</si>
  <si>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</si>
  <si>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</si>
  <si>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</si>
  <si>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</si>
  <si>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</si>
  <si>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</si>
  <si>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</si>
  <si>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</si>
  <si>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</si>
  <si>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</si>
  <si>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</si>
  <si>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</si>
  <si>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</si>
  <si>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</si>
  <si>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</si>
  <si>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</si>
  <si>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</si>
  <si>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</si>
  <si>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</si>
  <si>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</si>
  <si>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</si>
  <si>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</si>
  <si>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</si>
  <si>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</si>
  <si>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</si>
  <si>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</si>
  <si>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</si>
  <si>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</si>
  <si>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</si>
  <si>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</si>
  <si>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</si>
  <si>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</si>
  <si>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</si>
  <si>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</si>
  <si>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</si>
  <si>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</si>
  <si>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</si>
  <si>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</si>
  <si>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</si>
  <si>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</si>
  <si>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</si>
  <si>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</si>
  <si>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</si>
  <si>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</si>
  <si>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</si>
  <si>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</si>
  <si>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</si>
  <si>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</si>
  <si>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</si>
  <si>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</si>
  <si>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</si>
  <si>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</si>
  <si>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</si>
  <si>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</si>
  <si>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</si>
  <si>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</si>
  <si>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</si>
  <si>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</si>
  <si>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</si>
  <si>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</si>
  <si>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</si>
  <si>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</si>
  <si>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</si>
  <si>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</si>
  <si>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</si>
  <si>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</si>
  <si>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</si>
  <si>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</si>
  <si>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</si>
  <si>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</si>
  <si>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</si>
  <si>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</si>
  <si>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</si>
  <si>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</si>
  <si>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</si>
  <si>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</si>
  <si>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</si>
  <si>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</si>
  <si>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</si>
  <si>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</si>
  <si>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</si>
  <si>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</si>
  <si>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</si>
  <si>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</si>
  <si>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</si>
  <si>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</si>
  <si>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</si>
  <si>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</si>
  <si>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</si>
  <si>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</si>
  <si>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</si>
  <si>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</si>
  <si>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</si>
  <si>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</si>
  <si>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</si>
  <si>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</si>
  <si>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</si>
  <si>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</si>
  <si>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</si>
  <si>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</si>
  <si>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</si>
  <si>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</si>
  <si>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</si>
  <si>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</si>
  <si>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</si>
  <si>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</si>
  <si>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</si>
  <si>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</si>
  <si>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</si>
  <si>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</si>
  <si>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</si>
  <si>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</si>
  <si>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</si>
  <si>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</si>
  <si>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</si>
  <si>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</si>
  <si>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</si>
  <si>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</si>
  <si>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</si>
  <si>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</si>
  <si>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</si>
  <si>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</si>
  <si>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</si>
  <si>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</si>
  <si>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</si>
  <si>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</si>
  <si>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</si>
  <si>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</si>
  <si>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</si>
  <si>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</si>
  <si>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</si>
  <si>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</si>
  <si>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</si>
  <si>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</si>
  <si>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</si>
  <si>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</si>
  <si>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</si>
  <si>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</si>
  <si>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</si>
  <si>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</si>
  <si>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</si>
  <si>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</si>
  <si>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</si>
  <si>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</si>
  <si>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</si>
  <si>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</si>
  <si>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</si>
  <si>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</si>
  <si>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</si>
  <si>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</si>
  <si>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</si>
  <si>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</si>
  <si>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</si>
  <si>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</si>
  <si>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</si>
  <si>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</si>
  <si>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</si>
  <si>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</si>
  <si>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</si>
  <si>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</si>
  <si>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</si>
  <si>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</si>
  <si>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</si>
  <si>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</si>
  <si>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</si>
  <si>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</si>
  <si>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</si>
  <si>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</si>
  <si>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</si>
  <si>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</si>
  <si>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</si>
  <si>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</si>
  <si>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</si>
  <si>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</si>
  <si>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</si>
  <si>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</si>
  <si>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</si>
  <si>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</si>
  <si>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</si>
  <si>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</si>
  <si>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</si>
  <si>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</si>
  <si>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</si>
  <si>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</si>
  <si>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</si>
  <si>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</si>
  <si>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</si>
  <si>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</si>
  <si>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</si>
  <si>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</si>
  <si>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</si>
  <si>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</si>
  <si>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</si>
  <si>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</si>
  <si>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</si>
  <si>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</si>
  <si>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</si>
  <si>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</si>
  <si>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</si>
  <si>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</si>
  <si>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</si>
  <si>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</si>
  <si>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</si>
  <si>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</si>
  <si>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</si>
  <si>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</si>
  <si>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</si>
  <si>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</si>
  <si>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</si>
  <si>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</si>
  <si>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</si>
  <si>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</si>
  <si>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</si>
  <si>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</si>
  <si>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</si>
  <si>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</si>
  <si>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</si>
  <si>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</si>
  <si>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</si>
  <si>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</si>
  <si>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</si>
  <si>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</si>
  <si>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</si>
  <si>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</si>
  <si>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</si>
  <si>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</si>
  <si>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</si>
  <si>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</si>
  <si>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</si>
  <si>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</si>
  <si>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</si>
  <si>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</si>
  <si>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</si>
  <si>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</si>
  <si>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</si>
  <si>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</si>
  <si>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</si>
  <si>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</si>
  <si>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</si>
  <si>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</si>
  <si>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</si>
  <si>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</si>
  <si>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</si>
  <si>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</si>
  <si>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</si>
  <si>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</si>
  <si>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</si>
  <si>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</si>
  <si>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</si>
  <si>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</si>
  <si>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</si>
  <si>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</si>
  <si>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</si>
  <si>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</si>
  <si>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</si>
  <si>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</si>
  <si>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</si>
  <si>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</si>
  <si>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</si>
  <si>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</si>
  <si>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</si>
  <si>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</si>
  <si>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</si>
  <si>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</si>
  <si>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</si>
  <si>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</si>
  <si>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</si>
  <si>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</si>
  <si>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</si>
  <si>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</si>
  <si>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</si>
  <si>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</si>
  <si>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</si>
  <si>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</si>
  <si>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</si>
  <si>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</si>
  <si>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</si>
  <si>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</si>
  <si>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</si>
  <si>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</si>
  <si>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</si>
  <si>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</si>
  <si>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</si>
  <si>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</si>
  <si>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</si>
  <si>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</si>
  <si>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</si>
  <si>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</si>
  <si>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</si>
  <si>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</si>
  <si>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</si>
  <si>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</si>
  <si>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</si>
  <si>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</si>
  <si>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</si>
  <si>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</si>
  <si>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</si>
  <si>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</si>
  <si>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</si>
  <si>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</si>
  <si>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</si>
  <si>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</si>
  <si>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</si>
  <si>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</si>
  <si>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</si>
  <si>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</si>
  <si>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</si>
  <si>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</si>
  <si>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</si>
  <si>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</si>
  <si>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</si>
  <si>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</si>
  <si>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</si>
  <si>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</si>
  <si>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</si>
  <si>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</si>
  <si>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</si>
  <si>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</si>
  <si>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</si>
  <si>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</si>
  <si>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</si>
  <si>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</si>
  <si>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</si>
  <si>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</si>
  <si>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</si>
  <si>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</si>
  <si>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</si>
  <si>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</si>
  <si>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</si>
  <si>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</si>
  <si>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</si>
  <si>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</si>
  <si>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</si>
  <si>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</si>
  <si>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</si>
  <si>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</si>
  <si>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</si>
  <si>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</si>
  <si>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</si>
  <si>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</si>
  <si>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</si>
  <si>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</si>
  <si>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</si>
  <si>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</si>
  <si>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</si>
  <si>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</si>
  <si>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</si>
  <si>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</si>
  <si>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</si>
  <si>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</si>
  <si>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</si>
  <si>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</si>
  <si>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</si>
  <si>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</si>
  <si>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</si>
  <si>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</si>
  <si>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</si>
  <si>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</si>
  <si>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</si>
  <si>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</si>
  <si>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</si>
  <si>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</si>
  <si>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</si>
  <si>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</si>
  <si>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</si>
  <si>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</si>
  <si>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</si>
  <si>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</si>
  <si>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</si>
  <si>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</si>
  <si>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</si>
  <si>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</si>
  <si>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</si>
  <si>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</si>
  <si>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</si>
  <si>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</si>
  <si>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</si>
  <si>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</si>
  <si>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</si>
  <si>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</si>
  <si>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</si>
  <si>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</si>
  <si>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</si>
  <si>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</si>
  <si>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</si>
  <si>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</si>
  <si>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</si>
  <si>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</si>
  <si>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</si>
  <si>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</si>
  <si>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</si>
  <si>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</si>
  <si>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</si>
  <si>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</si>
  <si>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</si>
  <si>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</si>
  <si>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</si>
  <si>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</si>
  <si>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</si>
  <si>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</si>
  <si>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</si>
  <si>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</si>
  <si>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</si>
  <si>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</si>
  <si>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</si>
  <si>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</si>
  <si>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</si>
  <si>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</si>
  <si>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</si>
  <si>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</si>
  <si>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</si>
  <si>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</si>
  <si>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</si>
  <si>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</si>
  <si>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</si>
  <si>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</si>
  <si>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</si>
  <si>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</si>
  <si>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</si>
  <si>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</si>
  <si>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</si>
  <si>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</si>
  <si>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</si>
  <si>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</si>
  <si>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</si>
  <si>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</si>
  <si>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</si>
  <si>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</si>
  <si>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</si>
  <si>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</si>
  <si>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</si>
  <si>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</si>
  <si>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</si>
  <si>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</si>
  <si>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</si>
  <si>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</si>
  <si>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</si>
  <si>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</si>
  <si>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</si>
  <si>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</si>
  <si>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</si>
  <si>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</si>
  <si>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</si>
  <si>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</si>
  <si>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</si>
  <si>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</si>
  <si>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</si>
  <si>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</si>
  <si>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</si>
  <si>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</si>
  <si>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</si>
  <si>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</si>
  <si>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</si>
  <si>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</si>
  <si>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</si>
  <si>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</si>
  <si>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</si>
  <si>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</si>
  <si>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</si>
  <si>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</si>
  <si>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</si>
  <si>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</si>
  <si>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</si>
  <si>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</si>
  <si>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</si>
  <si>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</si>
  <si>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</si>
  <si>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</si>
  <si>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</si>
  <si>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</si>
  <si>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</si>
  <si>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</si>
  <si>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</si>
  <si>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</si>
  <si>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</si>
  <si>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</si>
  <si>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</si>
  <si>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</si>
  <si>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</si>
  <si>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</si>
  <si>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</si>
  <si>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</si>
  <si>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</si>
  <si>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</si>
  <si>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</si>
  <si>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</si>
  <si>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</si>
  <si>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</si>
  <si>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</si>
  <si>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</si>
  <si>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</si>
  <si>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</si>
  <si>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</si>
  <si>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</si>
  <si>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</si>
  <si>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</si>
  <si>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</si>
  <si>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</si>
  <si>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</si>
  <si>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</si>
  <si>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</si>
  <si>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</si>
  <si>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</si>
  <si>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</si>
  <si>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</si>
  <si>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</si>
  <si>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</si>
  <si>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</si>
  <si>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</si>
  <si>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</si>
  <si>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</si>
  <si>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</si>
  <si>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</si>
  <si>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</si>
  <si>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</si>
  <si>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</si>
  <si>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</si>
  <si>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</si>
  <si>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</si>
  <si>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</si>
  <si>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</si>
  <si>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</si>
  <si>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</si>
  <si>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</si>
  <si>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</si>
  <si>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</si>
  <si>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</si>
  <si>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</si>
  <si>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</si>
  <si>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</si>
  <si>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</si>
  <si>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</si>
  <si>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</si>
  <si>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</si>
  <si>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</si>
  <si>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</si>
  <si>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</si>
  <si>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</si>
  <si>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</si>
  <si>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</si>
  <si>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</si>
  <si>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</si>
  <si>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</si>
  <si>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</si>
  <si>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</si>
  <si>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</si>
  <si>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</si>
  <si>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</si>
  <si>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</si>
  <si>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</si>
  <si>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</si>
  <si>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</si>
  <si>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</si>
  <si>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</si>
  <si>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</si>
  <si>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</si>
  <si>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</si>
  <si>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</si>
  <si>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</si>
  <si>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</si>
  <si>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</si>
  <si>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</si>
  <si>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</si>
  <si>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</si>
  <si>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</si>
  <si>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</si>
  <si>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</si>
  <si>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</si>
  <si>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</si>
  <si>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</si>
  <si>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</si>
  <si>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</si>
  <si>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</si>
  <si>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</si>
  <si>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</si>
  <si>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</si>
  <si>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</si>
  <si>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</si>
  <si>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</si>
  <si>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</si>
  <si>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</si>
  <si>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</si>
  <si>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</si>
  <si>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</si>
  <si>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</si>
  <si>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</si>
  <si>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</si>
  <si>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</si>
  <si>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</si>
  <si>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</si>
  <si>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</si>
  <si>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</si>
  <si>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</si>
  <si>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</si>
  <si>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</si>
  <si>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</si>
  <si>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</si>
  <si>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</si>
  <si>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</si>
  <si>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</si>
  <si>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</si>
  <si>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</si>
  <si>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</si>
  <si>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</si>
  <si>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</si>
  <si>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</si>
  <si>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</si>
  <si>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</si>
  <si>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</si>
  <si>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</si>
  <si>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</si>
  <si>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</si>
  <si>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</si>
  <si>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</si>
  <si>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</si>
  <si>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</si>
  <si>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</si>
  <si>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</si>
  <si>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</si>
  <si>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</si>
  <si>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</si>
  <si>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</si>
  <si>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</si>
  <si>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</si>
  <si>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</si>
  <si>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</si>
  <si>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</si>
  <si>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</si>
  <si>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</si>
  <si>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</si>
  <si>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</si>
  <si>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</si>
  <si>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</si>
  <si>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</si>
  <si>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</si>
  <si>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</si>
  <si>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</si>
  <si>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</si>
  <si>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</si>
  <si>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</si>
  <si>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</si>
  <si>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</si>
  <si>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</si>
  <si>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</si>
  <si>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</si>
  <si>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</si>
  <si>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</si>
  <si>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</si>
  <si>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</si>
  <si>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</si>
  <si>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</si>
  <si>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</si>
  <si>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</si>
  <si>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</si>
  <si>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</si>
  <si>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</si>
  <si>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</si>
  <si>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</si>
  <si>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</si>
  <si>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</si>
  <si>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</si>
  <si>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</si>
  <si>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</si>
  <si>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</si>
  <si>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</si>
  <si>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</si>
  <si>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</si>
  <si>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</si>
  <si>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</si>
  <si>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</si>
  <si>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</si>
  <si>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</si>
  <si>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</si>
  <si>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</si>
  <si>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</si>
  <si>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</si>
  <si>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</si>
  <si>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</si>
  <si>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</si>
  <si>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</si>
  <si>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</si>
  <si>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</si>
  <si>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</si>
  <si>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</si>
  <si>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</si>
  <si>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</si>
  <si>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</si>
  <si>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</si>
  <si>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</si>
  <si>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</si>
  <si>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</si>
  <si>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</si>
  <si>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</si>
  <si>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</si>
  <si>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</si>
  <si>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</si>
  <si>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</si>
  <si>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</si>
  <si>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</si>
  <si>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</si>
  <si>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</si>
  <si>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</si>
  <si>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</si>
  <si>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</si>
  <si>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</si>
  <si>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</si>
  <si>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</si>
  <si>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</si>
  <si>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</si>
  <si>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</si>
  <si>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</si>
  <si>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</si>
  <si>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</si>
  <si>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</si>
  <si>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</si>
  <si>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</si>
  <si>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</si>
  <si>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</si>
  <si>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</si>
  <si>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</si>
  <si>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</si>
  <si>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</si>
  <si>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</si>
  <si>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</si>
  <si>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</si>
  <si>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</si>
  <si>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</si>
  <si>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</si>
  <si>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</si>
  <si>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</si>
  <si>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</si>
  <si>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</si>
  <si>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</si>
  <si>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</si>
  <si>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</si>
  <si>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</si>
  <si>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</si>
  <si>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</si>
  <si>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</si>
  <si>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</si>
  <si>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</si>
  <si>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</si>
  <si>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</si>
  <si>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</si>
  <si>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</si>
  <si>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</si>
  <si>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</si>
  <si>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</si>
  <si>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</si>
  <si>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</si>
  <si>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</si>
  <si>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</si>
  <si>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</si>
  <si>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</si>
  <si>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</si>
  <si>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</si>
  <si>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</si>
  <si>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</si>
  <si>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</si>
  <si>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</si>
  <si>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</si>
  <si>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</si>
  <si>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</si>
  <si>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</si>
  <si>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</si>
  <si>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</si>
  <si>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</si>
  <si>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</si>
  <si>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</si>
  <si>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</si>
  <si>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</si>
  <si>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</si>
  <si>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</si>
  <si>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</si>
  <si>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</si>
  <si>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</si>
  <si>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</si>
  <si>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</si>
  <si>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</si>
  <si>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</si>
  <si>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</si>
  <si>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</si>
  <si>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</si>
  <si>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</si>
  <si>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</si>
  <si>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</si>
  <si>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</si>
  <si>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</si>
  <si>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</si>
  <si>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</si>
  <si>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</si>
  <si>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</si>
  <si>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</si>
  <si>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</si>
  <si>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</si>
  <si>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</si>
  <si>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</si>
  <si>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</si>
  <si>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</si>
  <si>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</si>
  <si>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</si>
  <si>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</si>
  <si>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</si>
  <si>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</si>
  <si>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</si>
  <si>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</si>
  <si>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</si>
  <si>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</si>
  <si>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</si>
  <si>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</si>
  <si>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</si>
  <si>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</si>
  <si>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</si>
  <si>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</si>
  <si>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</si>
  <si>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</si>
  <si>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</si>
  <si>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</si>
  <si>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</si>
  <si>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</si>
  <si>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</si>
  <si>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</si>
  <si>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</si>
  <si>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</si>
  <si>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</si>
  <si>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</si>
  <si>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</si>
  <si>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</si>
  <si>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</si>
  <si>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</si>
  <si>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</si>
  <si>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</si>
  <si>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</si>
  <si>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</si>
  <si>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</si>
  <si>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</si>
  <si>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</si>
  <si>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</si>
  <si>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</si>
  <si>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</si>
  <si>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</si>
  <si>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</si>
  <si>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</si>
  <si>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</si>
  <si>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</si>
  <si>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</si>
  <si>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</si>
  <si>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</si>
  <si>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</si>
  <si>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</si>
  <si>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</si>
  <si>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</si>
  <si>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</si>
  <si>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</si>
  <si>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</si>
  <si>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</si>
  <si>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</si>
  <si>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</si>
  <si>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</si>
  <si>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</si>
  <si>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</si>
  <si>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</si>
  <si>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</si>
  <si>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</si>
  <si>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</si>
  <si>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</si>
  <si>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</si>
  <si>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</si>
  <si>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</si>
  <si>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</si>
  <si>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</si>
  <si>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</si>
  <si>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</si>
  <si>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</si>
  <si>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</si>
  <si>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</si>
  <si>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</si>
  <si>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</si>
  <si>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</si>
  <si>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</si>
  <si>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</si>
  <si>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</si>
  <si>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</si>
  <si>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</si>
  <si>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</si>
  <si>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</si>
  <si>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</si>
  <si>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</si>
  <si>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</si>
  <si>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</si>
  <si>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</si>
  <si>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</si>
  <si>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</si>
  <si>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</si>
  <si>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</si>
  <si>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</si>
  <si>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</si>
  <si>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</si>
  <si>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</si>
  <si>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</si>
  <si>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</si>
  <si>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</si>
  <si>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</si>
  <si>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</si>
  <si>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</si>
  <si>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</si>
  <si>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</si>
  <si>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</si>
  <si>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</si>
  <si>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</si>
  <si>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</si>
  <si>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</si>
  <si>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</si>
  <si>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</si>
  <si>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</si>
  <si>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</si>
  <si>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</si>
  <si>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</si>
  <si>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</si>
  <si>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</si>
  <si>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</si>
  <si>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</si>
  <si>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</si>
  <si>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</si>
  <si>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</si>
  <si>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</si>
  <si>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</si>
  <si>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</si>
  <si>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</si>
  <si>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</si>
  <si>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</si>
  <si>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</si>
  <si>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</si>
  <si>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</si>
  <si>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</si>
  <si>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</si>
  <si>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</si>
  <si>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</si>
  <si>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</si>
  <si>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</si>
  <si>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</si>
  <si>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</si>
  <si>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</si>
  <si>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</si>
  <si>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</si>
  <si>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</si>
  <si>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</si>
  <si>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</si>
  <si>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</si>
  <si>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</si>
  <si>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</si>
  <si>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</si>
  <si>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</si>
  <si>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</si>
  <si>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</si>
  <si>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</si>
  <si>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</si>
  <si>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</si>
  <si>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</si>
  <si>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</si>
  <si>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</si>
  <si>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</si>
  <si>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</si>
  <si>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</si>
  <si>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</si>
  <si>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</si>
  <si>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</si>
  <si>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</si>
  <si>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</si>
  <si>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</si>
  <si>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</si>
  <si>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</si>
  <si>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</si>
  <si>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</si>
  <si>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</si>
  <si>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</si>
  <si>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</si>
  <si>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</si>
  <si>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</si>
  <si>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</si>
  <si>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</si>
  <si>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</si>
  <si>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</si>
  <si>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</si>
  <si>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</si>
  <si>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</si>
  <si>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</si>
  <si>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</si>
  <si>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</si>
  <si>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</si>
  <si>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</si>
  <si>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</si>
  <si>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</si>
  <si>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</si>
  <si>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</si>
  <si>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</si>
  <si>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</si>
  <si>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</si>
  <si>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</si>
  <si>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</si>
  <si>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</si>
  <si>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</si>
  <si>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</si>
  <si>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</si>
  <si>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</si>
  <si>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</si>
  <si>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</si>
  <si>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</si>
  <si>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</si>
  <si>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</si>
  <si>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</si>
  <si>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</si>
  <si>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</si>
  <si>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</si>
  <si>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</si>
  <si>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</si>
  <si>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</si>
  <si>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</si>
  <si>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</si>
  <si>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</si>
  <si>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</si>
  <si>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</si>
  <si>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</si>
  <si>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</si>
  <si>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</si>
  <si>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</si>
  <si>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</si>
  <si>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</si>
  <si>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</si>
  <si>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</si>
  <si>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</si>
  <si>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</si>
  <si>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</si>
  <si>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</si>
  <si>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</si>
  <si>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</si>
  <si>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</si>
  <si>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</si>
  <si>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</si>
  <si>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</si>
  <si>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</si>
  <si>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</si>
  <si>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</si>
  <si>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</si>
  <si>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</si>
  <si>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</si>
  <si>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</si>
  <si>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</si>
  <si>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</si>
  <si>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</si>
  <si>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</si>
  <si>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</si>
  <si>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</si>
  <si>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</si>
  <si>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</si>
  <si>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</si>
  <si>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</si>
  <si>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</si>
  <si>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</si>
  <si>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</si>
  <si>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</si>
  <si>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</si>
  <si>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</si>
  <si>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</si>
  <si>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</si>
  <si>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</si>
  <si>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</si>
  <si>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</si>
  <si>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</si>
  <si>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</si>
  <si>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</si>
  <si>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</si>
  <si>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</si>
  <si>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</si>
  <si>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</si>
  <si>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</si>
  <si>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</si>
  <si>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</si>
  <si>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</si>
  <si>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</si>
  <si>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</si>
  <si>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</si>
  <si>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</si>
  <si>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</si>
  <si>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</si>
  <si>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</si>
  <si>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</si>
  <si>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</si>
  <si>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</si>
  <si>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</si>
  <si>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</si>
  <si>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</si>
  <si>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</si>
  <si>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</si>
  <si>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</si>
  <si>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</si>
  <si>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</si>
  <si>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</si>
  <si>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</si>
  <si>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</si>
  <si>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</si>
  <si>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</si>
  <si>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</si>
  <si>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</si>
  <si>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</si>
  <si>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</si>
  <si>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</si>
  <si>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</si>
  <si>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</si>
  <si>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</si>
  <si>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</si>
  <si>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</si>
  <si>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</si>
  <si>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</si>
  <si>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</si>
  <si>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</si>
  <si>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</si>
  <si>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</si>
  <si>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</si>
  <si>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</si>
  <si>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</si>
  <si>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</si>
  <si>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</si>
  <si>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</si>
  <si>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</si>
  <si>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</si>
  <si>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</si>
  <si>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</si>
  <si>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</si>
  <si>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</si>
  <si>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</si>
  <si>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</si>
  <si>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</si>
  <si>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</si>
  <si>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</si>
  <si>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</si>
  <si>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</si>
  <si>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</si>
  <si>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</si>
  <si>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</si>
  <si>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</si>
  <si>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</si>
  <si>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</si>
  <si>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</si>
  <si>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</si>
  <si>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</si>
  <si>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</si>
  <si>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</si>
  <si>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</si>
  <si>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</si>
  <si>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</si>
  <si>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</si>
  <si>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</si>
  <si>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</si>
  <si>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</si>
  <si>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</si>
  <si>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</si>
  <si>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</si>
  <si>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</si>
  <si>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</si>
  <si>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</si>
  <si>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</si>
  <si>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</si>
  <si>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</si>
  <si>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</si>
  <si>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</si>
  <si>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</si>
  <si>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</si>
  <si>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</si>
  <si>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</si>
  <si>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</si>
  <si>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</si>
  <si>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</si>
  <si>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</si>
  <si>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</si>
  <si>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</si>
  <si>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</si>
  <si>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</si>
  <si>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</si>
  <si>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</si>
  <si>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</si>
  <si>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</si>
  <si>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</si>
  <si>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</si>
  <si>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</si>
  <si>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</si>
  <si>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</si>
  <si>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</si>
  <si>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</si>
  <si>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</si>
  <si>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</si>
  <si>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</si>
  <si>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</si>
  <si>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</si>
  <si>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</si>
  <si>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</si>
  <si>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</si>
  <si>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</si>
  <si>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</si>
  <si>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</si>
  <si>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</si>
  <si>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</si>
  <si>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</si>
  <si>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</si>
  <si>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</si>
  <si>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</si>
  <si>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</si>
  <si>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</si>
  <si>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</si>
  <si>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</si>
  <si>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</si>
  <si>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</si>
  <si>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</si>
  <si>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</si>
  <si>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</si>
  <si>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</si>
  <si>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</si>
  <si>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</si>
  <si>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</si>
  <si>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</si>
  <si>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</si>
  <si>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</si>
  <si>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</si>
  <si>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</si>
  <si>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</si>
  <si>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</si>
  <si>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</si>
  <si>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</si>
  <si>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</si>
  <si>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</si>
  <si>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</si>
  <si>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</si>
  <si>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</si>
  <si>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</si>
  <si>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</si>
  <si>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</si>
  <si>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</si>
  <si>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</si>
  <si>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</si>
  <si>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</si>
  <si>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</si>
  <si>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</si>
  <si>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</si>
  <si>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</si>
  <si>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</si>
  <si>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</si>
  <si>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</si>
  <si>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</si>
  <si>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</si>
  <si>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</si>
  <si>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</si>
  <si>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</si>
  <si>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</si>
  <si>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</si>
  <si>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</si>
  <si>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</si>
  <si>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</si>
  <si>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</si>
  <si>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</si>
  <si>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</si>
  <si>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</si>
  <si>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</si>
  <si>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</si>
  <si>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</si>
  <si>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</si>
  <si>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</si>
  <si>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</si>
  <si>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</si>
  <si>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</si>
  <si>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</si>
  <si>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</si>
  <si>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</si>
  <si>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</si>
  <si>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</si>
  <si>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</si>
  <si>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</si>
  <si>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</si>
  <si>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</si>
  <si>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</si>
  <si>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</si>
  <si>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</si>
  <si>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</si>
  <si>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</si>
  <si>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</si>
  <si>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</si>
  <si>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</si>
  <si>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</si>
  <si>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</si>
  <si>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</si>
  <si>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</si>
  <si>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</si>
  <si>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</si>
  <si>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</si>
  <si>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</si>
  <si>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</si>
  <si>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</si>
  <si>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</si>
  <si>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</si>
  <si>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</si>
  <si>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</si>
  <si>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</si>
  <si>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</si>
  <si>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</si>
  <si>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</si>
  <si>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</si>
  <si>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</si>
  <si>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</si>
  <si>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</si>
  <si>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</si>
  <si>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</si>
  <si>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</si>
  <si>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</si>
  <si>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</si>
  <si>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</si>
  <si>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</si>
  <si>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</si>
  <si>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</si>
  <si>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</si>
  <si>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</si>
  <si>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</si>
  <si>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</si>
  <si>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</si>
  <si>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</si>
  <si>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</si>
  <si>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</si>
  <si>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</si>
  <si>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</si>
  <si>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</si>
  <si>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</si>
  <si>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</si>
  <si>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</si>
  <si>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</si>
  <si>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</si>
  <si>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</si>
  <si>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</si>
  <si>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</si>
  <si>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</si>
  <si>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</si>
  <si>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</si>
  <si>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</si>
  <si>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</si>
  <si>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</si>
  <si>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</si>
  <si>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</si>
  <si>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</si>
  <si>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</si>
  <si>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</si>
  <si>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</si>
  <si>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</si>
  <si>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</si>
  <si>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</si>
  <si>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</si>
  <si>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</si>
  <si>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</si>
  <si>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</si>
  <si>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</si>
  <si>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</si>
  <si>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</si>
  <si>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</si>
  <si>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</si>
  <si>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</si>
  <si>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</si>
  <si>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</si>
  <si>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</si>
  <si>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</si>
  <si>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</si>
  <si>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</si>
  <si>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</si>
  <si>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</si>
  <si>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</si>
  <si>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</si>
  <si>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</si>
  <si>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</si>
  <si>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</si>
  <si>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</si>
  <si>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</si>
  <si>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</si>
  <si>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</si>
  <si>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</si>
  <si>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</si>
  <si>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</si>
  <si>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</si>
  <si>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</si>
  <si>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</si>
  <si>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</si>
  <si>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</si>
  <si>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</si>
  <si>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</si>
  <si>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</si>
  <si>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</si>
  <si>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</si>
  <si>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</si>
  <si>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</si>
  <si>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</si>
  <si>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</si>
  <si>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</si>
  <si>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</si>
  <si>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</si>
  <si>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</si>
  <si>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</si>
  <si>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</si>
  <si>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</si>
  <si>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</si>
  <si>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</si>
  <si>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</si>
  <si>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</si>
  <si>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</si>
  <si>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</si>
  <si>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</si>
  <si>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</si>
  <si>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</si>
  <si>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</si>
  <si>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</si>
  <si>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</si>
  <si>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</si>
  <si>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</si>
  <si>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</si>
  <si>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</si>
  <si>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</si>
  <si>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</si>
  <si>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</si>
  <si>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</si>
  <si>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</si>
  <si>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</si>
  <si>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</si>
  <si>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</si>
  <si>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</si>
  <si>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</si>
  <si>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</si>
  <si>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</si>
  <si>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</si>
  <si>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</si>
  <si>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</si>
  <si>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</si>
  <si>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</si>
  <si>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</si>
  <si>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</si>
  <si>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</si>
  <si>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</si>
  <si>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</si>
  <si>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</si>
  <si>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</si>
  <si>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</si>
  <si>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</si>
  <si>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</si>
  <si>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</si>
  <si>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</si>
  <si>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</si>
  <si>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</si>
  <si>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</si>
  <si>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</si>
  <si>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</si>
  <si>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</si>
  <si>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</si>
  <si>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</si>
  <si>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</si>
  <si>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</si>
  <si>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</si>
  <si>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</si>
  <si>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</si>
  <si>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</si>
  <si>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</si>
  <si>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</si>
  <si>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</si>
  <si>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</si>
  <si>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</si>
  <si>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</si>
  <si>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</si>
  <si>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</si>
  <si>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</si>
  <si>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</si>
  <si>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</si>
  <si>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</si>
  <si>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</si>
  <si>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</si>
  <si>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</si>
  <si>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</si>
  <si>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</si>
  <si>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</si>
  <si>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</si>
  <si>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</si>
  <si>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</si>
  <si>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</si>
  <si>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</si>
  <si>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</si>
  <si>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</si>
  <si>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</si>
  <si>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</si>
  <si>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</si>
  <si>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</si>
  <si>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</si>
  <si>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</si>
  <si>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</si>
  <si>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</si>
  <si>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</si>
  <si>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</si>
  <si>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</si>
  <si>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</si>
  <si>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</si>
  <si>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</si>
  <si>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</si>
  <si>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</si>
  <si>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</si>
  <si>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</si>
  <si>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</si>
  <si>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</si>
  <si>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</si>
  <si>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</si>
  <si>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</si>
  <si>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</si>
  <si>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</si>
  <si>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</si>
  <si>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</si>
  <si>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</si>
  <si>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</si>
  <si>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</si>
  <si>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</si>
  <si>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</si>
  <si>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</si>
  <si>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</si>
  <si>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</si>
  <si>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</si>
  <si>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</si>
  <si>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</si>
  <si>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</si>
  <si>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</si>
  <si>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</si>
  <si>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</si>
  <si>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</si>
  <si>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</si>
  <si>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</si>
  <si>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</si>
  <si>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</si>
  <si>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</si>
  <si>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</si>
  <si>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</si>
  <si>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</si>
  <si>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</si>
  <si>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</si>
  <si>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</si>
  <si>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</si>
  <si>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</si>
  <si>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</si>
  <si>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</si>
  <si>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</si>
  <si>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</si>
  <si>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</si>
  <si>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</si>
  <si>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</si>
  <si>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</si>
  <si>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</si>
  <si>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</si>
  <si>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</si>
  <si>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</si>
  <si>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</si>
  <si>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</si>
  <si>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</si>
  <si>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</si>
  <si>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</si>
  <si>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</si>
  <si>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</si>
  <si>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</si>
  <si>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</si>
  <si>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</si>
  <si>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</si>
  <si>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</si>
  <si>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</si>
  <si>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</si>
  <si>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</si>
  <si>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</si>
  <si>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</si>
  <si>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</si>
  <si>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</si>
  <si>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</si>
  <si>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</si>
  <si>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</si>
  <si>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</si>
  <si>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</si>
  <si>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</si>
  <si>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</si>
  <si>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</si>
  <si>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</si>
  <si>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</si>
  <si>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</si>
  <si>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</si>
  <si>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</si>
  <si>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</si>
  <si>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</si>
  <si>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</si>
  <si>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</si>
  <si>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</si>
  <si>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</si>
  <si>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</si>
  <si>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</si>
  <si>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</si>
  <si>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</si>
  <si>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</si>
  <si>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</si>
  <si>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</si>
  <si>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</si>
  <si>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</si>
  <si>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</si>
  <si>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</si>
  <si>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</si>
  <si>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</si>
  <si>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</si>
  <si>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</si>
  <si>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</si>
  <si>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</si>
  <si>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</si>
  <si>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</si>
  <si>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</si>
  <si>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</si>
  <si>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</si>
  <si>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</si>
  <si>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</si>
  <si>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</si>
  <si>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</si>
  <si>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</si>
  <si>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</si>
  <si>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</si>
  <si>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</si>
  <si>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</si>
  <si>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</si>
  <si>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</si>
  <si>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</si>
  <si>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</si>
  <si>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</si>
  <si>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</si>
  <si>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</si>
  <si>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</si>
  <si>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</si>
  <si>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</si>
  <si>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</si>
  <si>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</si>
  <si>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</si>
  <si>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</si>
  <si>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</si>
  <si>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</si>
  <si>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</si>
  <si>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</si>
  <si>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</si>
  <si>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</si>
  <si>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</si>
  <si>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</si>
  <si>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</si>
  <si>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</si>
  <si>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</si>
  <si>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</si>
  <si>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</si>
  <si>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</si>
  <si>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</si>
  <si>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</si>
  <si>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</si>
  <si>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</si>
  <si>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</si>
  <si>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</si>
  <si>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</si>
  <si>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</si>
  <si>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</si>
  <si>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</si>
  <si>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</si>
  <si>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</si>
  <si>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</si>
  <si>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</si>
  <si>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</si>
  <si>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</si>
  <si>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</si>
  <si>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</si>
  <si>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</si>
  <si>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</si>
  <si>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</si>
  <si>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</si>
  <si>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</si>
  <si>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</si>
  <si>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</si>
  <si>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</si>
  <si>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</si>
  <si>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</si>
  <si>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</si>
  <si>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</si>
  <si>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</si>
  <si>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</si>
  <si>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</si>
  <si>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</si>
  <si>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</si>
  <si>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</si>
  <si>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</si>
  <si>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</si>
  <si>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</si>
  <si>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</si>
  <si>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</si>
  <si>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</si>
  <si>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</si>
  <si>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</si>
  <si>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</si>
  <si>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</si>
  <si>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</si>
  <si>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</si>
  <si>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</si>
  <si>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</si>
  <si>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</si>
  <si>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</si>
  <si>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</si>
  <si>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</si>
  <si>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</si>
  <si>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</si>
  <si>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</si>
  <si>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</si>
  <si>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</si>
  <si>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</si>
  <si>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</si>
  <si>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</si>
  <si>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</si>
  <si>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</si>
  <si>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</si>
  <si>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</si>
  <si>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</si>
  <si>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</si>
  <si>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</si>
  <si>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</si>
  <si>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</si>
  <si>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</si>
  <si>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</si>
  <si>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</si>
  <si>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</si>
  <si>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</si>
  <si>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</si>
  <si>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</si>
  <si>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</si>
  <si>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</si>
  <si>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</si>
  <si>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</si>
  <si>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</si>
  <si>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</si>
  <si>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</si>
  <si>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</si>
  <si>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</si>
  <si>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</si>
  <si>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</si>
  <si>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</si>
  <si>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</si>
  <si>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</si>
  <si>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</si>
  <si>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</si>
  <si>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</si>
  <si>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</si>
  <si>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</si>
  <si>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</si>
  <si>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</si>
  <si>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</si>
  <si>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</si>
  <si>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</si>
  <si>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</si>
  <si>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</si>
  <si>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</si>
  <si>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</si>
  <si>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</si>
  <si>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</si>
  <si>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</si>
  <si>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</si>
  <si>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</si>
  <si>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</si>
  <si>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</si>
  <si>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</si>
  <si>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</si>
  <si>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</si>
  <si>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</si>
  <si>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</si>
  <si>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</si>
  <si>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</si>
  <si>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</si>
  <si>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</si>
  <si>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</si>
  <si>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</si>
  <si>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</si>
  <si>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</si>
  <si>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</si>
  <si>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</si>
  <si>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</si>
  <si>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</si>
  <si>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</si>
  <si>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</si>
  <si>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</si>
  <si>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</si>
  <si>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</si>
  <si>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</si>
  <si>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</si>
  <si>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</si>
  <si>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</si>
  <si>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</si>
  <si>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</si>
  <si>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</si>
  <si>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</si>
  <si>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</si>
  <si>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</si>
  <si>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</si>
  <si>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</si>
  <si>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</si>
  <si>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</si>
  <si>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</si>
  <si>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</si>
  <si>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</si>
  <si>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</si>
  <si>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</si>
  <si>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</si>
  <si>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</si>
  <si>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</si>
  <si>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</si>
  <si>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</si>
  <si>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</si>
  <si>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</si>
  <si>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</si>
  <si>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</si>
  <si>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</si>
  <si>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</si>
  <si>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</si>
  <si>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</si>
  <si>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</si>
  <si>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</si>
  <si>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</si>
  <si>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</si>
  <si>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</si>
  <si>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</si>
  <si>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</si>
  <si>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</si>
  <si>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</si>
  <si>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</si>
  <si>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</si>
  <si>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</si>
  <si>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</si>
  <si>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</si>
  <si>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</si>
  <si>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</si>
  <si>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</si>
  <si>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</si>
  <si>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</si>
  <si>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</si>
  <si>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</si>
  <si>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</si>
  <si>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</si>
  <si>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</si>
  <si>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</si>
  <si>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</si>
  <si>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</si>
  <si>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</si>
  <si>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</si>
  <si>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</si>
  <si>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</si>
  <si>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</si>
  <si>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</si>
  <si>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</si>
  <si>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</si>
  <si>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</si>
  <si>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</si>
  <si>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</si>
  <si>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</si>
  <si>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</si>
  <si>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</si>
  <si>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</si>
  <si>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</si>
  <si>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</si>
  <si>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</si>
  <si>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</si>
  <si>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</si>
  <si>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</si>
  <si>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</si>
  <si>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</si>
  <si>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</si>
  <si>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</si>
  <si>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</si>
  <si>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</si>
  <si>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</si>
  <si>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</si>
  <si>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</si>
  <si>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</si>
  <si>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</si>
  <si>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</si>
  <si>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</si>
  <si>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</si>
  <si>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</si>
  <si>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</si>
  <si>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</si>
  <si>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</si>
  <si>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</si>
  <si>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</si>
  <si>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</si>
  <si>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</si>
  <si>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</si>
  <si>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</si>
  <si>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</si>
  <si>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</si>
  <si>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</si>
  <si>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</si>
  <si>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</si>
  <si>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</si>
  <si>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</si>
  <si>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</si>
  <si>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</si>
  <si>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</si>
  <si>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</si>
  <si>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</si>
  <si>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</si>
  <si>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</si>
  <si>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</si>
  <si>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</si>
  <si>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</si>
  <si>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</si>
  <si>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</si>
  <si>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</si>
  <si>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</si>
  <si>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</si>
  <si>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</si>
  <si>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</si>
  <si>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</si>
  <si>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</si>
  <si>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</si>
  <si>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</si>
  <si>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</si>
  <si>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</si>
  <si>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</si>
  <si>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</si>
  <si>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</si>
  <si>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</si>
  <si>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</si>
  <si>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</si>
  <si>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</si>
  <si>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</si>
  <si>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</si>
  <si>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</si>
  <si>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</si>
  <si>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</si>
  <si>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</si>
  <si>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</si>
  <si>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</si>
  <si>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</si>
  <si>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</si>
  <si>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</si>
  <si>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</si>
  <si>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</si>
  <si>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</si>
  <si>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</si>
  <si>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</si>
  <si>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</si>
  <si>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</si>
  <si>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</si>
  <si>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</si>
  <si>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</si>
  <si>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</si>
  <si>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</si>
  <si>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</si>
  <si>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</si>
  <si>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</si>
  <si>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</si>
  <si>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</si>
  <si>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</si>
  <si>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</si>
  <si>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</si>
  <si>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</si>
  <si>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</si>
  <si>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</si>
  <si>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</si>
  <si>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</si>
  <si>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</si>
  <si>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</si>
  <si>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</si>
  <si>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</si>
  <si>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</si>
  <si>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</si>
  <si>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</si>
  <si>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</si>
  <si>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</si>
  <si>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</si>
  <si>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</si>
  <si>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</si>
  <si>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</si>
  <si>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</si>
  <si>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</si>
  <si>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</si>
  <si>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</si>
  <si>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</si>
  <si>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</si>
  <si>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</si>
  <si>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</si>
  <si>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</si>
  <si>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</si>
  <si>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</si>
  <si>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</si>
  <si>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</si>
  <si>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</si>
  <si>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</si>
  <si>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</si>
  <si>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</si>
  <si>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</si>
  <si>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</si>
  <si>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</si>
  <si>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</si>
  <si>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</si>
  <si>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</si>
  <si>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</si>
  <si>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</si>
  <si>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</si>
  <si>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</si>
  <si>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</si>
  <si>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</si>
  <si>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</si>
  <si>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</si>
  <si>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</si>
  <si>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</si>
  <si>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</si>
  <si>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</si>
  <si>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</si>
  <si>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</si>
  <si>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</si>
  <si>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</si>
  <si>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</si>
  <si>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</si>
  <si>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</si>
  <si>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</si>
  <si>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</si>
  <si>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</si>
  <si>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</si>
  <si>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</si>
  <si>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</si>
  <si>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</si>
  <si>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</si>
  <si>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</si>
  <si>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</si>
  <si>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</si>
  <si>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</si>
  <si>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</si>
  <si>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</si>
  <si>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</si>
  <si>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</si>
  <si>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</si>
  <si>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</si>
  <si>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</si>
  <si>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</si>
  <si>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</si>
  <si>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</si>
  <si>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</si>
  <si>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</si>
  <si>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</si>
  <si>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</si>
  <si>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</si>
  <si>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</si>
  <si>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</si>
  <si>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</si>
  <si>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</si>
  <si>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</si>
  <si>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</si>
  <si>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</si>
  <si>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</si>
  <si>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</si>
  <si>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</si>
  <si>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</si>
  <si>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</si>
  <si>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</si>
  <si>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</si>
  <si>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</si>
  <si>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</si>
  <si>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</si>
  <si>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</si>
  <si>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</si>
  <si>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</si>
  <si>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</si>
  <si>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</si>
  <si>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</si>
  <si>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</si>
  <si>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</si>
  <si>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</si>
  <si>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</si>
  <si>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</si>
  <si>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</si>
  <si>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</si>
  <si>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</si>
  <si>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</si>
  <si>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</si>
  <si>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</si>
  <si>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</si>
  <si>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</si>
  <si>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</si>
  <si>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</si>
  <si>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</si>
  <si>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</si>
  <si>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</si>
  <si>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</si>
  <si>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</si>
  <si>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</si>
  <si>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</si>
  <si>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</si>
  <si>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</si>
  <si>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</si>
  <si>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</si>
  <si>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</si>
  <si>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</si>
  <si>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</si>
  <si>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</si>
  <si>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</si>
  <si>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</si>
  <si>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</si>
  <si>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</si>
  <si>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</si>
  <si>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</si>
  <si>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</si>
  <si>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</si>
  <si>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</si>
  <si>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</si>
  <si>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</si>
  <si>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</si>
  <si>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</si>
  <si>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</si>
  <si>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</si>
  <si>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</si>
  <si>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</si>
  <si>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</si>
  <si>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</si>
  <si>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</si>
  <si>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</si>
  <si>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</si>
  <si>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</si>
  <si>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</si>
  <si>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</si>
  <si>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</si>
  <si>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</si>
  <si>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</si>
  <si>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</si>
  <si>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</si>
  <si>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</si>
  <si>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</si>
  <si>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</si>
  <si>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</si>
  <si>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</si>
  <si>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</si>
  <si>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</si>
  <si>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</si>
  <si>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</si>
  <si>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</si>
  <si>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</si>
  <si>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</si>
  <si>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</si>
  <si>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</si>
  <si>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</si>
  <si>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</si>
  <si>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</si>
  <si>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</si>
  <si>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</si>
  <si>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</si>
  <si>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</si>
  <si>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</si>
  <si>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</si>
  <si>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</si>
  <si>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</si>
  <si>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</si>
  <si>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</si>
  <si>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</si>
  <si>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</si>
  <si>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</si>
  <si>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</si>
  <si>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</si>
  <si>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</si>
  <si>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</si>
  <si>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</si>
  <si>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</si>
  <si>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</si>
  <si>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</si>
  <si>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</si>
  <si>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</si>
  <si>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</si>
  <si>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</si>
  <si>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</si>
  <si>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</si>
  <si>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</si>
  <si>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</si>
  <si>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</si>
  <si>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</si>
  <si>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</si>
  <si>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</si>
  <si>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</si>
  <si>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</si>
  <si>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</si>
  <si>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</si>
  <si>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</si>
  <si>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</si>
  <si>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</si>
  <si>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</si>
  <si>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</si>
  <si>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</si>
  <si>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</si>
  <si>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</si>
  <si>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</si>
  <si>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</si>
  <si>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</si>
  <si>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</si>
  <si>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</si>
  <si>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</si>
  <si>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</si>
  <si>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</si>
  <si>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</si>
  <si>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</si>
  <si>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</si>
  <si>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</si>
  <si>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</si>
  <si>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</si>
  <si>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</si>
  <si>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</si>
  <si>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</si>
  <si>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</si>
  <si>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</si>
  <si>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</si>
  <si>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</si>
  <si>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</si>
  <si>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</si>
  <si>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</si>
  <si>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</si>
  <si>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</si>
  <si>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</si>
  <si>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</si>
  <si>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</si>
  <si>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</si>
  <si>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</si>
  <si>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</si>
  <si>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</si>
  <si>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</si>
  <si>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</si>
  <si>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</si>
  <si>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</si>
  <si>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</si>
  <si>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</si>
  <si>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</si>
  <si>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</si>
  <si>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</si>
  <si>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</si>
  <si>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</si>
  <si>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</si>
  <si>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</si>
  <si>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</si>
  <si>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</si>
  <si>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</si>
  <si>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</si>
  <si>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</si>
  <si>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</si>
  <si>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</si>
  <si>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</si>
  <si>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</si>
  <si>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</si>
  <si>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</si>
  <si>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</si>
  <si>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</si>
  <si>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</si>
  <si>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</si>
  <si>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</si>
  <si>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</si>
  <si>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</si>
  <si>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</si>
  <si>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</si>
  <si>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</si>
  <si>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</si>
  <si>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</si>
  <si>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</si>
  <si>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</si>
  <si>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</si>
  <si>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</si>
  <si>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</si>
  <si>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</si>
  <si>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</si>
  <si>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</si>
  <si>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</si>
  <si>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</si>
  <si>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</si>
  <si>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</si>
  <si>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</si>
  <si>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</si>
  <si>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</si>
  <si>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</si>
  <si>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</si>
  <si>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</si>
  <si>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</si>
  <si>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</si>
  <si>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</si>
  <si>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</si>
  <si>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</si>
  <si>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</si>
  <si>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</si>
  <si>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</si>
  <si>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</si>
  <si>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</si>
  <si>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</si>
  <si>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</si>
  <si>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</si>
  <si>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</si>
  <si>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</si>
  <si>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</si>
  <si>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</si>
  <si>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</si>
  <si>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</si>
  <si>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</si>
  <si>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</si>
  <si>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</si>
  <si>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</si>
  <si>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</si>
  <si>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</si>
  <si>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</si>
  <si>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</si>
  <si>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</si>
  <si>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</si>
  <si>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</si>
  <si>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</si>
  <si>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</si>
  <si>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</si>
  <si>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</si>
  <si>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</si>
  <si>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</si>
  <si>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</si>
  <si>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</si>
  <si>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</si>
  <si>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</si>
  <si>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</si>
  <si>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</si>
  <si>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</si>
  <si>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</si>
  <si>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</si>
  <si>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</si>
  <si>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</si>
  <si>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</si>
  <si>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</si>
  <si>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</si>
  <si>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</si>
  <si>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</si>
  <si>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</si>
  <si>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</si>
  <si>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</si>
  <si>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</si>
  <si>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</si>
  <si>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</si>
  <si>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</si>
  <si>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</si>
  <si>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</si>
  <si>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</si>
  <si>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</si>
  <si>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</si>
  <si>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</si>
  <si>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</si>
  <si>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</si>
  <si>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</si>
  <si>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</si>
  <si>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</si>
  <si>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</si>
  <si>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</si>
  <si>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</si>
  <si>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</si>
  <si>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</si>
  <si>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</si>
  <si>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</si>
  <si>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</si>
  <si>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</si>
  <si>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</si>
  <si>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</si>
  <si>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</si>
  <si>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</si>
  <si>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</si>
  <si>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</si>
  <si>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</si>
  <si>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</si>
  <si>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</si>
  <si>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</si>
  <si>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</si>
  <si>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</si>
  <si>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</si>
  <si>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</si>
  <si>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</si>
  <si>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</si>
  <si>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</si>
  <si>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</si>
  <si>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</si>
  <si>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</si>
  <si>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</si>
  <si>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</si>
  <si>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</si>
  <si>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</si>
  <si>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</si>
  <si>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</si>
  <si>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</si>
  <si>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</si>
  <si>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</si>
  <si>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</si>
  <si>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</si>
  <si>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</si>
  <si>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</si>
  <si>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</si>
  <si>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</si>
  <si>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</si>
  <si>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</si>
  <si>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</si>
  <si>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</si>
  <si>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</si>
  <si>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</si>
  <si>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</si>
  <si>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</si>
  <si>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</si>
  <si>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</si>
  <si>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</si>
  <si>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</si>
  <si>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</si>
  <si>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</si>
  <si>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</si>
  <si>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</si>
  <si>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</si>
  <si>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</si>
  <si>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</si>
  <si>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</si>
  <si>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</si>
  <si>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</si>
  <si>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</si>
  <si>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</si>
  <si>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</si>
  <si>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</si>
  <si>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</si>
  <si>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</si>
  <si>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</si>
  <si>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</si>
  <si>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</si>
  <si>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</si>
  <si>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</si>
  <si>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</si>
  <si>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</si>
  <si>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</si>
  <si>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</si>
  <si>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</si>
  <si>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</si>
  <si>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</si>
  <si>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</si>
  <si>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</si>
  <si>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</si>
  <si>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</si>
  <si>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</si>
  <si>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</si>
  <si>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</si>
  <si>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</si>
  <si>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</si>
  <si>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</si>
  <si>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</si>
  <si>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</si>
  <si>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</si>
  <si>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</si>
  <si>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</si>
  <si>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</si>
  <si>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</si>
  <si>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</si>
  <si>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</si>
  <si>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</si>
  <si>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</si>
  <si>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</si>
  <si>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</si>
  <si>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</si>
  <si>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</si>
  <si>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</si>
  <si>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</si>
  <si>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</si>
  <si>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</si>
  <si>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</si>
  <si>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</si>
  <si>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</si>
  <si>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</si>
  <si>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</si>
  <si>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</si>
  <si>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</si>
  <si>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</si>
  <si>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</si>
  <si>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</si>
  <si>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</si>
  <si>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</si>
  <si>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</si>
  <si>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</si>
  <si>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</si>
  <si>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</si>
  <si>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</si>
  <si>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</si>
  <si>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</si>
  <si>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</si>
  <si>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</si>
  <si>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</si>
  <si>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</si>
  <si>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</si>
  <si>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</si>
  <si>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</si>
  <si>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</si>
  <si>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</si>
  <si>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</si>
  <si>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</si>
  <si>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</si>
  <si>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</si>
  <si>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</si>
  <si>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</si>
  <si>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</si>
  <si>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</si>
  <si>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</si>
  <si>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</si>
  <si>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</si>
  <si>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</si>
  <si>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</si>
  <si>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</si>
  <si>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</si>
  <si>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</si>
  <si>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</si>
  <si>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</si>
  <si>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</si>
  <si>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</si>
  <si>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</si>
  <si>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</si>
  <si>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</si>
  <si>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</si>
  <si>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</si>
  <si>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</si>
  <si>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</si>
  <si>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</si>
  <si>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</si>
  <si>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</si>
  <si>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</si>
  <si>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</si>
  <si>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</si>
  <si>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</si>
  <si>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</si>
  <si>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</si>
  <si>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</si>
  <si>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</si>
  <si>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</si>
  <si>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</si>
  <si>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</si>
  <si>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</si>
  <si>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</si>
  <si>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</si>
  <si>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</si>
  <si>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</si>
  <si>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</si>
  <si>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</si>
  <si>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</si>
  <si>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</si>
  <si>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</si>
  <si>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</si>
  <si>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</si>
  <si>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</si>
  <si>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</si>
  <si>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</si>
  <si>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</si>
  <si>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</si>
  <si>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</si>
  <si>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</si>
  <si>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</si>
  <si>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</si>
  <si>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</si>
  <si>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</si>
  <si>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</si>
  <si>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</si>
  <si>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</si>
  <si>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</si>
  <si>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</si>
  <si>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</si>
  <si>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</si>
  <si>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</si>
  <si>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</si>
  <si>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</si>
  <si>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</si>
  <si>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</si>
  <si>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</si>
  <si>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</si>
  <si>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</si>
  <si>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</si>
  <si>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</si>
  <si>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</si>
  <si>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</si>
  <si>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</si>
  <si>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</si>
  <si>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</si>
  <si>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</si>
  <si>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</si>
  <si>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</si>
  <si>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</si>
  <si>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</si>
  <si>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</si>
  <si>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</si>
  <si>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</si>
  <si>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</si>
  <si>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</si>
  <si>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</si>
  <si>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</si>
  <si>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</si>
  <si>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</si>
  <si>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</si>
  <si>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</si>
  <si>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</si>
  <si>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</si>
  <si>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</si>
  <si>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</si>
  <si>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</si>
  <si>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</si>
  <si>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</si>
  <si>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</si>
  <si>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</si>
  <si>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</si>
  <si>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</si>
  <si>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</si>
  <si>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</si>
  <si>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</si>
  <si>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</si>
  <si>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</si>
  <si>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</si>
  <si>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</si>
  <si>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</si>
  <si>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</si>
  <si>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</si>
  <si>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</si>
  <si>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</si>
  <si>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</si>
  <si>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</si>
  <si>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</si>
  <si>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</si>
  <si>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</si>
  <si>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</si>
  <si>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</si>
  <si>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</si>
  <si>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</si>
  <si>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</si>
  <si>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</si>
  <si>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</si>
  <si>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</si>
  <si>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</si>
  <si>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</si>
  <si>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</si>
  <si>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</si>
  <si>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</si>
  <si>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</si>
  <si>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</si>
  <si>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</si>
  <si>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</si>
  <si>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</si>
  <si>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</si>
  <si>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</si>
  <si>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</si>
  <si>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</si>
  <si>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</si>
  <si>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</si>
  <si>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</si>
  <si>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</si>
  <si>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</si>
  <si>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</si>
  <si>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</si>
  <si>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</si>
  <si>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</si>
  <si>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</si>
  <si>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</si>
  <si>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</si>
  <si>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</si>
  <si>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</si>
  <si>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</si>
  <si>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</si>
  <si>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</si>
  <si>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</si>
  <si>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</si>
  <si>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</si>
  <si>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</si>
  <si>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</si>
  <si>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</si>
  <si>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</si>
  <si>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</si>
  <si>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</si>
  <si>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</si>
  <si>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</si>
  <si>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</si>
  <si>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</si>
  <si>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</si>
  <si>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</si>
  <si>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</si>
  <si>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</si>
  <si>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</si>
  <si>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</si>
  <si>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</si>
  <si>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</si>
  <si>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</si>
  <si>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</si>
  <si>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</si>
  <si>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</si>
  <si>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</si>
  <si>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</si>
  <si>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</si>
  <si>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</si>
  <si>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</si>
  <si>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</si>
  <si>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</si>
  <si>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</si>
  <si>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</si>
  <si>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</si>
  <si>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</si>
  <si>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</si>
  <si>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</si>
  <si>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</si>
  <si>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</si>
  <si>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</si>
  <si>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</si>
  <si>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</si>
  <si>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</si>
  <si>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</si>
  <si>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</si>
  <si>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</si>
  <si>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</si>
  <si>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</si>
  <si>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</si>
  <si>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</si>
  <si>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</si>
  <si>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</si>
  <si>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</si>
  <si>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</si>
  <si>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</si>
  <si>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</si>
  <si>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</si>
  <si>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</si>
  <si>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</si>
  <si>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</si>
  <si>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</si>
  <si>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</si>
  <si>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</si>
  <si>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</si>
  <si>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</si>
  <si>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</si>
  <si>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</si>
  <si>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</si>
  <si>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</si>
  <si>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</si>
  <si>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</si>
  <si>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</si>
  <si>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</si>
  <si>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</si>
  <si>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</si>
  <si>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</si>
  <si>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</si>
  <si>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</si>
  <si>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</si>
  <si>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</si>
  <si>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</si>
  <si>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</si>
  <si>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</si>
  <si>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</si>
  <si>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</si>
  <si>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</si>
  <si>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</si>
  <si>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</si>
  <si>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</si>
  <si>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</si>
  <si>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</si>
  <si>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</si>
  <si>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</si>
  <si>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</si>
  <si>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</si>
  <si>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</si>
  <si>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</si>
  <si>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</si>
  <si>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</si>
  <si>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</si>
  <si>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</si>
  <si>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</si>
  <si>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</si>
  <si>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</si>
  <si>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</si>
  <si>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</si>
  <si>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</si>
  <si>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</si>
  <si>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</si>
  <si>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</si>
  <si>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</si>
  <si>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</si>
  <si>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</si>
  <si>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</si>
  <si>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</si>
  <si>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</si>
  <si>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</si>
  <si>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</si>
  <si>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</si>
  <si>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</si>
  <si>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</si>
  <si>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</si>
  <si>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</si>
  <si>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</si>
  <si>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</si>
  <si>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</si>
  <si>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</si>
  <si>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</si>
  <si>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</si>
  <si>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</si>
  <si>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</si>
  <si>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</si>
  <si>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</si>
  <si>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</si>
  <si>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</si>
  <si>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</si>
  <si>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</si>
  <si>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</si>
  <si>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</si>
  <si>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</si>
  <si>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</si>
  <si>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</si>
  <si>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</si>
  <si>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</si>
  <si>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</si>
  <si>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</si>
  <si>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</si>
  <si>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</si>
  <si>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</si>
  <si>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</si>
  <si>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</si>
  <si>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</si>
  <si>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</si>
  <si>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</si>
  <si>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</si>
  <si>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</si>
  <si>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</si>
  <si>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</si>
  <si>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</si>
  <si>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</si>
  <si>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</si>
  <si>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</si>
  <si>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</si>
  <si>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</si>
  <si>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</si>
  <si>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</si>
  <si>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</si>
  <si>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</si>
  <si>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</si>
  <si>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</si>
  <si>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</si>
  <si>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</si>
  <si>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</si>
  <si>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</si>
  <si>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</si>
  <si>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</si>
  <si>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</si>
  <si>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</si>
  <si>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</si>
  <si>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</si>
  <si>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</si>
  <si>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</si>
  <si>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</si>
  <si>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</si>
  <si>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</si>
  <si>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</si>
  <si>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</si>
  <si>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</si>
  <si>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</si>
  <si>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</si>
  <si>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</si>
  <si>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</si>
  <si>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</si>
  <si>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</si>
  <si>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</si>
  <si>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</si>
  <si>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</si>
  <si>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</si>
  <si>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</si>
  <si>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</si>
  <si>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</si>
  <si>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</si>
  <si>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</si>
  <si>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</si>
  <si>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</si>
  <si>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</si>
  <si>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</si>
  <si>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</si>
  <si>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</si>
  <si>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</si>
  <si>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</si>
  <si>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</si>
  <si>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</si>
  <si>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</si>
  <si>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</si>
  <si>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</si>
  <si>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</si>
  <si>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</si>
  <si>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</si>
  <si>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</si>
  <si>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</si>
  <si>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</si>
  <si>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</si>
  <si>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</si>
  <si>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</si>
  <si>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</si>
  <si>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</si>
  <si>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</si>
  <si>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</si>
  <si>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</si>
  <si>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</si>
  <si>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</si>
  <si>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</si>
  <si>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</si>
  <si>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</si>
  <si>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</si>
  <si>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</si>
  <si>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</si>
  <si>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</si>
  <si>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</si>
  <si>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</si>
  <si>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</si>
  <si>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</si>
  <si>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</si>
  <si>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</si>
  <si>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</si>
  <si>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</si>
  <si>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</si>
  <si>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</si>
  <si>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</si>
  <si>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</si>
  <si>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</si>
  <si>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</si>
  <si>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</si>
  <si>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</si>
  <si>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</si>
  <si>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</si>
  <si>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</si>
  <si>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</si>
  <si>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</si>
  <si>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</si>
  <si>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</si>
  <si>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</si>
  <si>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</si>
  <si>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</si>
  <si>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</si>
  <si>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</si>
  <si>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</si>
  <si>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</si>
  <si>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</si>
  <si>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</si>
  <si>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</si>
  <si>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</si>
  <si>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</si>
  <si>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</si>
  <si>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</si>
  <si>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</si>
  <si>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</si>
  <si>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</si>
  <si>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</si>
  <si>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</si>
  <si>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</si>
  <si>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</si>
  <si>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</si>
  <si>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</si>
  <si>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</si>
  <si>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</si>
  <si>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</si>
  <si>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</si>
  <si>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</si>
  <si>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</si>
  <si>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</si>
  <si>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</si>
  <si>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</si>
  <si>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</si>
  <si>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</si>
  <si>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</si>
  <si>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</si>
  <si>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</si>
  <si>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</si>
  <si>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</si>
  <si>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</si>
  <si>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</si>
  <si>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</si>
  <si>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</si>
  <si>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</si>
  <si>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</si>
  <si>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</si>
  <si>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</si>
  <si>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</si>
  <si>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</si>
  <si>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</si>
  <si>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</si>
  <si>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</si>
  <si>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</si>
  <si>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</si>
  <si>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</si>
  <si>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</si>
  <si>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</si>
  <si>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</si>
  <si>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</si>
  <si>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</si>
  <si>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</si>
  <si>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</si>
  <si>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</si>
  <si>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</si>
  <si>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</si>
  <si>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</si>
  <si>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</si>
  <si>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</si>
  <si>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</si>
  <si>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</si>
  <si>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</si>
  <si>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</si>
  <si>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</si>
  <si>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</si>
  <si>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</si>
  <si>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</si>
  <si>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</si>
  <si>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</si>
  <si>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</si>
  <si>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</si>
  <si>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</si>
  <si>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</si>
  <si>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</si>
  <si>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</si>
  <si>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</si>
  <si>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</si>
  <si>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</si>
  <si>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</si>
  <si>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</si>
  <si>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</si>
  <si>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</si>
  <si>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</si>
  <si>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</si>
  <si>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</si>
  <si>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</si>
  <si>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</si>
  <si>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</si>
  <si>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</si>
  <si>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</si>
  <si>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</si>
  <si>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</si>
  <si>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</si>
  <si>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</si>
  <si>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</si>
  <si>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</si>
  <si>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</si>
  <si>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</si>
  <si>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</si>
  <si>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</si>
  <si>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</si>
  <si>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</si>
  <si>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</si>
  <si>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</si>
  <si>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</si>
  <si>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</si>
  <si>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</si>
  <si>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</si>
  <si>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</si>
  <si>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</si>
  <si>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</si>
  <si>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</si>
  <si>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</si>
  <si>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</si>
  <si>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</si>
  <si>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</si>
  <si>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</si>
  <si>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</si>
  <si>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</si>
  <si>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</si>
  <si>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</si>
  <si>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</si>
  <si>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</si>
  <si>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</si>
  <si>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</si>
  <si>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</si>
  <si>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</si>
  <si>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</si>
  <si>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</si>
  <si>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</si>
  <si>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</si>
  <si>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</si>
  <si>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</si>
  <si>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</si>
  <si>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</si>
  <si>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</si>
  <si>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</si>
  <si>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</si>
  <si>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</si>
  <si>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</si>
  <si>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</si>
  <si>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</si>
  <si>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</si>
  <si>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</si>
  <si>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</si>
  <si>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</si>
  <si>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</si>
  <si>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</si>
  <si>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</si>
  <si>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</si>
  <si>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</si>
  <si>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</si>
  <si>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</si>
  <si>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</si>
  <si>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</si>
  <si>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</si>
  <si>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</si>
  <si>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</si>
  <si>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</si>
  <si>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</si>
  <si>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</si>
  <si>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</si>
  <si>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</si>
  <si>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</si>
  <si>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</si>
  <si>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</si>
  <si>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</si>
  <si>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</si>
  <si>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</si>
  <si>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</si>
  <si>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</si>
  <si>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</si>
  <si>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</si>
  <si>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</si>
  <si>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</si>
  <si>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</si>
  <si>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</si>
  <si>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</si>
  <si>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</si>
  <si>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</si>
  <si>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</si>
  <si>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</si>
  <si>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</si>
  <si>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</si>
  <si>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</si>
  <si>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</si>
  <si>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</si>
  <si>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</si>
  <si>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</si>
  <si>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</si>
  <si>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</si>
  <si>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</si>
  <si>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</si>
  <si>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</si>
  <si>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</si>
  <si>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</si>
  <si>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</si>
  <si>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</si>
  <si>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</si>
  <si>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</si>
  <si>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</si>
  <si>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</si>
  <si>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</si>
  <si>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</si>
  <si>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</si>
  <si>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</si>
  <si>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</si>
  <si>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</si>
  <si>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</si>
  <si>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</si>
  <si>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</si>
  <si>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</si>
  <si>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</si>
  <si>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</si>
  <si>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</si>
  <si>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</si>
  <si>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</si>
  <si>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</si>
  <si>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</si>
  <si>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</si>
  <si>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</si>
  <si>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</si>
  <si>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</si>
  <si>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</si>
  <si>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</si>
  <si>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</si>
  <si>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</si>
  <si>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</si>
  <si>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</si>
  <si>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</si>
  <si>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</si>
  <si>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</si>
  <si>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</si>
  <si>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</si>
  <si>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</si>
  <si>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</si>
  <si>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</si>
  <si>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</si>
  <si>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</si>
  <si>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</si>
  <si>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</si>
  <si>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</si>
  <si>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</si>
  <si>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</si>
  <si>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</si>
  <si>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</si>
  <si>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</si>
  <si>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</si>
  <si>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</si>
  <si>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</si>
  <si>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</si>
  <si>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</si>
  <si>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</si>
  <si>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</si>
  <si>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</si>
  <si>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</si>
  <si>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</si>
  <si>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</si>
  <si>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</si>
  <si>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</si>
  <si>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</si>
  <si>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</si>
  <si>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</si>
  <si>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</si>
  <si>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</si>
  <si>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</si>
  <si>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</si>
  <si>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</si>
  <si>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</si>
  <si>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</si>
  <si>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</si>
  <si>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</si>
  <si>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</si>
  <si>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</si>
  <si>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</si>
  <si>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</si>
  <si>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</si>
  <si>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</si>
  <si>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</si>
  <si>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</si>
  <si>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</si>
  <si>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</si>
  <si>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</si>
  <si>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</si>
  <si>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</si>
  <si>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</si>
  <si>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</si>
  <si>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</si>
  <si>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</si>
  <si>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</si>
  <si>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</si>
  <si>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</si>
  <si>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</si>
  <si>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</si>
  <si>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</si>
  <si>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</si>
  <si>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</si>
  <si>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</si>
  <si>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</si>
  <si>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</si>
  <si>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</si>
  <si>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</si>
  <si>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</si>
  <si>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</si>
  <si>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</si>
  <si>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</si>
  <si>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</si>
  <si>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</si>
  <si>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</si>
  <si>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</si>
  <si>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</si>
  <si>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</si>
  <si>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</si>
  <si>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</si>
  <si>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</si>
  <si>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</si>
  <si>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</si>
  <si>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</si>
  <si>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</si>
  <si>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</si>
  <si>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</si>
  <si>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</si>
  <si>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</si>
  <si>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</si>
  <si>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</si>
  <si>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</si>
  <si>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</si>
  <si>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</si>
  <si>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</si>
  <si>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</si>
  <si>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</si>
  <si>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</si>
  <si>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</si>
  <si>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</si>
  <si>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</si>
  <si>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</si>
  <si>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</si>
  <si>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</si>
  <si>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</si>
  <si>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</si>
  <si>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</si>
  <si>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</si>
  <si>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</si>
  <si>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</si>
  <si>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</si>
  <si>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</si>
  <si>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</si>
  <si>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</si>
  <si>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</si>
  <si>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</si>
  <si>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</si>
  <si>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</si>
  <si>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</si>
  <si>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</si>
  <si>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</si>
  <si>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</si>
  <si>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</si>
  <si>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</si>
  <si>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</si>
  <si>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</si>
  <si>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</si>
  <si>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</si>
  <si>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</si>
  <si>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</si>
  <si>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</si>
  <si>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</si>
  <si>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</si>
  <si>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</si>
  <si>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</si>
  <si>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</si>
  <si>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</si>
  <si>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</si>
  <si>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</si>
  <si>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</si>
  <si>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</si>
  <si>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</si>
  <si>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</si>
  <si>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</si>
  <si>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</si>
  <si>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</si>
  <si>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</si>
  <si>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</si>
  <si>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</si>
  <si>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</si>
  <si>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</si>
  <si>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</si>
  <si>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</si>
  <si>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</si>
  <si>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</si>
  <si>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</si>
  <si>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</si>
  <si>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</si>
  <si>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</si>
  <si>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</si>
  <si>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</si>
  <si>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</si>
  <si>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</si>
  <si>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</si>
  <si>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</si>
  <si>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</si>
  <si>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</si>
  <si>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</si>
  <si>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</si>
  <si>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</si>
  <si>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</si>
  <si>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</si>
  <si>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</si>
  <si>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</si>
  <si>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</si>
  <si>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</si>
  <si>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</si>
  <si>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</si>
  <si>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</si>
  <si>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</si>
  <si>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</si>
  <si>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</si>
  <si>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</si>
  <si>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</si>
  <si>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</si>
  <si>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</si>
  <si>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</si>
  <si>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</si>
  <si>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</si>
  <si>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</si>
  <si>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</si>
  <si>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</si>
  <si>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</si>
  <si>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</si>
  <si>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</si>
  <si>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</si>
  <si>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</si>
  <si>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</si>
  <si>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</si>
  <si>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</si>
  <si>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</si>
  <si>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</si>
  <si>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</si>
  <si>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</si>
  <si>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</si>
  <si>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</si>
  <si>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</si>
  <si>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</si>
  <si>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</si>
  <si>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</si>
  <si>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</si>
  <si>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</si>
  <si>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</si>
  <si>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</si>
  <si>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</si>
  <si>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</si>
  <si>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</si>
  <si>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</si>
  <si>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</si>
  <si>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</si>
  <si>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</si>
  <si>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</si>
  <si>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</si>
  <si>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</si>
  <si>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</si>
  <si>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</si>
  <si>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</si>
  <si>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</si>
  <si>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</si>
  <si>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</si>
  <si>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</si>
  <si>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</si>
  <si>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</si>
  <si>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</si>
  <si>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</si>
  <si>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</si>
  <si>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</si>
  <si>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</si>
  <si>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</si>
  <si>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</si>
  <si>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</si>
  <si>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</si>
  <si>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</si>
  <si>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</si>
  <si>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</si>
  <si>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</si>
  <si>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</si>
  <si>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</si>
  <si>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</si>
  <si>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</si>
  <si>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</si>
  <si>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</si>
  <si>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</si>
  <si>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</si>
  <si>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</si>
  <si>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</si>
  <si>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</si>
  <si>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</si>
  <si>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</si>
  <si>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</si>
  <si>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</si>
  <si>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</si>
  <si>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</si>
  <si>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</si>
  <si>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</si>
  <si>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</si>
  <si>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</si>
  <si>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</si>
  <si>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</si>
  <si>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</si>
  <si>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</si>
  <si>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</si>
  <si>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</si>
  <si>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</si>
  <si>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</si>
  <si>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</si>
  <si>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</si>
  <si>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</si>
  <si>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</si>
  <si>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</si>
  <si>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</si>
  <si>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</si>
  <si>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</si>
  <si>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</si>
  <si>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</si>
  <si>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</si>
  <si>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</si>
  <si>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</si>
  <si>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</si>
  <si>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</si>
  <si>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</si>
  <si>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</si>
  <si>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</si>
  <si>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</si>
  <si>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</si>
  <si>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</si>
  <si>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</si>
  <si>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</si>
  <si>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</si>
  <si>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</si>
  <si>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</si>
  <si>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</si>
  <si>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</si>
  <si>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</si>
  <si>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</si>
  <si>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</si>
  <si>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</si>
  <si>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</si>
  <si>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</si>
  <si>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</si>
  <si>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</si>
  <si>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</si>
  <si>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</si>
  <si>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</si>
  <si>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</si>
  <si>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</si>
  <si>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</si>
  <si>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</si>
  <si>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</si>
  <si>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</si>
  <si>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</si>
  <si>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</si>
  <si>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</si>
  <si>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</si>
  <si>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</si>
  <si>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</si>
  <si>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</si>
  <si>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</si>
  <si>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</si>
  <si>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</si>
  <si>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</si>
  <si>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</si>
  <si>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</si>
  <si>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</si>
  <si>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</si>
  <si>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</si>
  <si>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</si>
  <si>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</si>
  <si>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</si>
  <si>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</si>
  <si>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</si>
  <si>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</si>
  <si>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</si>
  <si>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</si>
  <si>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</si>
  <si>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</si>
  <si>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</si>
  <si>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</si>
  <si>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</si>
  <si>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</si>
  <si>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</si>
  <si>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</si>
  <si>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</si>
  <si>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</si>
  <si>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</si>
  <si>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</si>
  <si>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</si>
  <si>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</si>
  <si>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</si>
  <si>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</si>
  <si>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</si>
  <si>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</si>
  <si>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</si>
  <si>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</si>
  <si>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</si>
  <si>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</si>
  <si>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</si>
  <si>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</si>
  <si>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</si>
  <si>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</si>
  <si>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</si>
  <si>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</si>
  <si>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</si>
  <si>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</si>
  <si>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</si>
  <si>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</si>
  <si>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</si>
  <si>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</si>
  <si>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</si>
  <si>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</si>
  <si>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</si>
  <si>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</si>
  <si>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</si>
  <si>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</si>
  <si>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</si>
  <si>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</si>
  <si>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</si>
  <si>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</si>
  <si>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</si>
  <si>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</si>
  <si>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</si>
  <si>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</si>
  <si>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</si>
  <si>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</si>
  <si>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</si>
  <si>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</si>
  <si>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</si>
  <si>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</si>
  <si>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</si>
  <si>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</si>
  <si>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</si>
  <si>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</si>
  <si>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</si>
  <si>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</si>
  <si>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</si>
  <si>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</si>
  <si>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</si>
  <si>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</si>
  <si>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</si>
  <si>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</si>
  <si>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</si>
  <si>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</si>
  <si>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</si>
  <si>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</si>
  <si>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</si>
  <si>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</si>
  <si>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</si>
  <si>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</si>
  <si>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</si>
  <si>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</si>
  <si>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</si>
  <si>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</si>
  <si>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</si>
  <si>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</si>
  <si>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</si>
  <si>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</si>
  <si>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</si>
  <si>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</si>
  <si>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</si>
  <si>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</si>
  <si>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</si>
  <si>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</si>
  <si>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</si>
  <si>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</si>
  <si>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</si>
  <si>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</si>
  <si>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</si>
  <si>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</si>
  <si>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</si>
  <si>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</si>
  <si>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</si>
  <si>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</si>
  <si>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</si>
  <si>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</si>
  <si>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</si>
  <si>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</si>
  <si>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</si>
  <si>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</si>
  <si>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</si>
  <si>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</si>
  <si>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</si>
  <si>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</si>
  <si>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</si>
  <si>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</si>
  <si>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</si>
  <si>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</si>
  <si>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</si>
  <si>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</si>
  <si>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</si>
  <si>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</si>
  <si>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</si>
  <si>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</si>
  <si>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</si>
  <si>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</si>
  <si>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</si>
  <si>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</si>
  <si>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</si>
  <si>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</si>
  <si>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</si>
  <si>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</si>
  <si>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</si>
  <si>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</si>
  <si>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</si>
  <si>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</si>
  <si>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</si>
  <si>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</si>
  <si>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</si>
  <si>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</si>
  <si>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</si>
  <si>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</si>
  <si>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</si>
  <si>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</si>
  <si>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</si>
  <si>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</si>
  <si>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</si>
  <si>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</si>
  <si>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</si>
  <si>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</si>
  <si>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</si>
  <si>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</si>
  <si>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</si>
  <si>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</si>
  <si>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</si>
  <si>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</si>
  <si>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</si>
  <si>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</si>
  <si>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</si>
  <si>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</si>
  <si>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</si>
  <si>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</si>
  <si>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</si>
  <si>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</si>
  <si>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</si>
  <si>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</si>
  <si>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</si>
  <si>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</si>
  <si>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</si>
  <si>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</si>
  <si>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</si>
  <si>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</si>
  <si>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</si>
  <si>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</si>
  <si>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</si>
  <si>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</si>
  <si>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</si>
  <si>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</si>
  <si>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</si>
  <si>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</si>
  <si>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</si>
  <si>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</si>
  <si>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</si>
  <si>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</si>
  <si>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</si>
  <si>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</si>
  <si>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</si>
  <si>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</si>
  <si>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</si>
  <si>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</si>
  <si>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</si>
  <si>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</si>
  <si>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</si>
  <si>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</si>
  <si>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</si>
  <si>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</si>
  <si>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</si>
  <si>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</si>
  <si>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</si>
  <si>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</si>
  <si>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</si>
  <si>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</si>
  <si>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</si>
  <si>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</si>
  <si>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</si>
  <si>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</si>
  <si>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</si>
  <si>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</si>
  <si>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</si>
  <si>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</si>
  <si>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</si>
  <si>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</si>
  <si>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</si>
  <si>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</si>
  <si>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</si>
  <si>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</si>
  <si>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</si>
  <si>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</si>
  <si>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</si>
  <si>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</si>
  <si>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</si>
  <si>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</si>
  <si>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</si>
  <si>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</si>
  <si>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</si>
  <si>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</si>
  <si>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</si>
  <si>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</si>
  <si>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</si>
  <si>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</si>
  <si>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</si>
  <si>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</si>
  <si>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</si>
  <si>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</si>
  <si>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</si>
  <si>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</si>
  <si>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</si>
  <si>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</si>
  <si>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</si>
  <si>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</si>
  <si>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</si>
  <si>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</si>
  <si>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</si>
  <si>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</si>
  <si>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</si>
  <si>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</si>
  <si>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</si>
  <si>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</si>
  <si>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</si>
  <si>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</si>
  <si>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</si>
  <si>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</si>
  <si>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</si>
  <si>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</si>
  <si>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</si>
  <si>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</si>
  <si>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</si>
  <si>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</si>
  <si>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</si>
  <si>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</si>
  <si>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</si>
  <si>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</si>
  <si>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</si>
  <si>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</si>
  <si>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</si>
  <si>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</si>
  <si>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</si>
  <si>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</si>
  <si>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</si>
  <si>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</si>
  <si>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</si>
  <si>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</si>
  <si>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</si>
  <si>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</si>
  <si>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</si>
  <si>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</si>
  <si>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</si>
  <si>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</si>
  <si>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</si>
  <si>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</si>
  <si>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</si>
  <si>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</si>
  <si>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</si>
  <si>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</si>
  <si>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</si>
  <si>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</si>
  <si>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</si>
  <si>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</si>
  <si>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</si>
  <si>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</si>
  <si>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</si>
  <si>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</si>
  <si>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</si>
  <si>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</si>
  <si>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</si>
  <si>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</si>
  <si>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</si>
  <si>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</si>
  <si>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</si>
  <si>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</si>
  <si>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</si>
  <si>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</si>
  <si>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</si>
  <si>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</si>
  <si>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</si>
  <si>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</si>
  <si>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</si>
  <si>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</si>
  <si>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</si>
  <si>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</si>
  <si>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</si>
  <si>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</si>
  <si>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</si>
  <si>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</si>
  <si>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</si>
  <si>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</si>
  <si>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</si>
  <si>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</si>
  <si>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</si>
  <si>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</si>
  <si>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</si>
  <si>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</si>
  <si>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</si>
  <si>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</si>
  <si>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</si>
  <si>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</si>
  <si>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</si>
  <si>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</si>
  <si>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</si>
  <si>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</si>
  <si>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</si>
  <si>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</si>
  <si>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</si>
  <si>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</si>
  <si>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</si>
  <si>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</si>
  <si>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</si>
  <si>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</si>
  <si>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</si>
  <si>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</si>
  <si>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</si>
  <si>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</si>
  <si>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</si>
  <si>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</si>
  <si>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</si>
  <si>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</si>
  <si>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</si>
  <si>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</si>
  <si>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</si>
  <si>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</si>
  <si>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</si>
  <si>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</si>
  <si>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</si>
  <si>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</si>
  <si>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</si>
  <si>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</si>
  <si>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</si>
  <si>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</si>
  <si>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</si>
  <si>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</si>
  <si>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</si>
  <si>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</si>
  <si>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</si>
  <si>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</si>
  <si>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</si>
  <si>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</si>
  <si>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</si>
  <si>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</si>
  <si>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</si>
  <si>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</si>
  <si>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</si>
  <si>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</si>
  <si>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</si>
  <si>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</si>
  <si>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</si>
  <si>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</si>
  <si>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</si>
  <si>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</si>
  <si>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</si>
  <si>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</si>
  <si>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</si>
  <si>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</si>
  <si>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</si>
  <si>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</si>
  <si>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</si>
  <si>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</si>
  <si>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</si>
  <si>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</si>
  <si>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</si>
  <si>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</si>
  <si>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</si>
  <si>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</si>
  <si>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</si>
  <si>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</si>
  <si>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</si>
  <si>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</si>
  <si>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</si>
  <si>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</si>
  <si>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</si>
  <si>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</si>
  <si>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</si>
  <si>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</si>
  <si>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</si>
  <si>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</si>
  <si>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</si>
  <si>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</si>
  <si>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</si>
  <si>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</si>
  <si>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</si>
  <si>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</si>
  <si>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</si>
  <si>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</si>
  <si>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</si>
  <si>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</si>
  <si>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</si>
  <si>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</si>
  <si>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</si>
  <si>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</si>
  <si>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</si>
  <si>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</si>
  <si>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</si>
  <si>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</si>
  <si>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</si>
  <si>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</si>
  <si>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</si>
  <si>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</si>
  <si>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</si>
  <si>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</si>
  <si>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</si>
  <si>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</si>
  <si>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</si>
  <si>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</si>
  <si>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</si>
  <si>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</si>
  <si>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</si>
  <si>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</si>
  <si>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</si>
  <si>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</si>
  <si>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</si>
  <si>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</si>
  <si>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</si>
  <si>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</si>
  <si>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</si>
  <si>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</si>
  <si>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</si>
  <si>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</si>
  <si>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</si>
  <si>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</si>
  <si>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</si>
  <si>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</si>
  <si>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</si>
  <si>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</si>
  <si>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</si>
  <si>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</si>
  <si>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</si>
  <si>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</si>
  <si>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</si>
  <si>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</si>
  <si>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</si>
  <si>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</si>
  <si>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</si>
  <si>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</si>
  <si>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</si>
  <si>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</si>
  <si>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</si>
  <si>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</si>
  <si>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</si>
  <si>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</si>
  <si>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</si>
  <si>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</si>
  <si>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</si>
  <si>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</si>
  <si>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</si>
  <si>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</si>
  <si>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</si>
  <si>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</si>
  <si>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</si>
  <si>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</si>
  <si>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</si>
  <si>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</si>
  <si>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</si>
  <si>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</si>
  <si>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</si>
  <si>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</si>
  <si>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</si>
  <si>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</si>
  <si>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</si>
  <si>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</si>
  <si>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</si>
  <si>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</si>
  <si>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</si>
  <si>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</si>
  <si>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</si>
  <si>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</si>
  <si>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</si>
  <si>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</si>
  <si>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</si>
  <si>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</si>
  <si>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</si>
  <si>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</si>
  <si>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</si>
  <si>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</si>
  <si>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</si>
  <si>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</si>
  <si>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</si>
  <si>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</si>
  <si>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</si>
  <si>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</si>
  <si>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</si>
  <si>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</si>
  <si>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</si>
  <si>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</si>
  <si>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</si>
  <si>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</si>
  <si>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</si>
  <si>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</si>
  <si>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</si>
  <si>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</si>
  <si>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</si>
  <si>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</si>
  <si>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</si>
  <si>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</si>
  <si>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</si>
  <si>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</si>
  <si>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</si>
  <si>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</si>
  <si>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</si>
  <si>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</si>
  <si>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</si>
  <si>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</si>
  <si>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</si>
  <si>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</si>
  <si>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</si>
  <si>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</si>
  <si>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</si>
  <si>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</si>
  <si>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</si>
  <si>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</si>
  <si>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</si>
  <si>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</si>
  <si>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</si>
  <si>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</si>
  <si>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</si>
  <si>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</si>
  <si>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</si>
  <si>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</si>
  <si>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</si>
  <si>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</si>
  <si>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</si>
  <si>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</si>
  <si>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</si>
  <si>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</si>
  <si>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</si>
  <si>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</si>
  <si>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</si>
  <si>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</si>
  <si>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</si>
  <si>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</si>
  <si>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</si>
  <si>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</si>
  <si>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</si>
  <si>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</si>
  <si>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</si>
  <si>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</si>
  <si>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</si>
  <si>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</si>
  <si>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</si>
  <si>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</si>
  <si>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</si>
  <si>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</si>
  <si>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</si>
  <si>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</si>
  <si>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</si>
  <si>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</si>
  <si>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</si>
  <si>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</si>
  <si>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</si>
  <si>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</si>
  <si>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</si>
  <si>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</si>
  <si>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</si>
  <si>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</si>
  <si>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</si>
  <si>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</si>
  <si>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</si>
  <si>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</si>
  <si>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</si>
  <si>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</si>
  <si>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</si>
  <si>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</si>
  <si>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</si>
  <si>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</si>
  <si>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</si>
  <si>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</si>
  <si>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</si>
  <si>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</si>
  <si>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</si>
  <si>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</si>
  <si>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</si>
  <si>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</si>
  <si>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</si>
  <si>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</si>
  <si>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</si>
  <si>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</si>
  <si>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</si>
  <si>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</si>
  <si>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</si>
  <si>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</si>
  <si>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</si>
  <si>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</si>
  <si>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</si>
  <si>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</si>
  <si>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</si>
  <si>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</si>
  <si>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</si>
  <si>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</si>
  <si>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</si>
  <si>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</si>
  <si>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</si>
  <si>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</si>
  <si>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</si>
  <si>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</si>
  <si>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</si>
  <si>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</si>
  <si>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</si>
  <si>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</si>
  <si>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</si>
  <si>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</si>
  <si>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</si>
  <si>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</si>
  <si>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</si>
  <si>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</si>
  <si>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</si>
  <si>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</si>
  <si>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</si>
  <si>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</si>
  <si>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</si>
  <si>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</si>
  <si>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</si>
  <si>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</si>
  <si>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</si>
  <si>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</si>
  <si>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</si>
  <si>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</si>
  <si>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</si>
  <si>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</si>
  <si>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</si>
  <si>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</si>
  <si>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</si>
  <si>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</si>
  <si>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</si>
  <si>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</si>
  <si>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</si>
  <si>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</si>
  <si>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</si>
  <si>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</si>
  <si>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</si>
  <si>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</si>
  <si>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</si>
  <si>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</si>
  <si>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</si>
  <si>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</si>
  <si>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</si>
  <si>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</si>
  <si>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</si>
  <si>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</si>
  <si>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</si>
  <si>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</si>
  <si>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</si>
  <si>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</si>
  <si>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</si>
  <si>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</si>
  <si>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</si>
  <si>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</si>
  <si>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</si>
  <si>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</si>
  <si>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</si>
  <si>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</si>
  <si>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</si>
  <si>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</si>
  <si>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</si>
  <si>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</si>
  <si>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</si>
  <si>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</si>
  <si>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</si>
  <si>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</si>
  <si>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</si>
  <si>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</si>
  <si>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</si>
  <si>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</si>
  <si>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</si>
  <si>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</si>
  <si>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</si>
  <si>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</si>
  <si>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</si>
  <si>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</si>
  <si>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</si>
  <si>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</si>
  <si>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</si>
  <si>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</si>
  <si>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</si>
  <si>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</si>
  <si>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</si>
  <si>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</si>
  <si>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</si>
  <si>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</si>
  <si>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</si>
  <si>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</si>
  <si>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</si>
  <si>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</si>
  <si>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</si>
  <si>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</si>
  <si>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</si>
  <si>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</si>
  <si>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</si>
  <si>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</si>
  <si>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</si>
  <si>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</si>
  <si>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</si>
  <si>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</si>
  <si>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</si>
  <si>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</si>
  <si>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</si>
  <si>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</si>
  <si>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</si>
  <si>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</si>
  <si>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</si>
  <si>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</si>
  <si>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</si>
  <si>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</si>
  <si>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</si>
  <si>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</si>
  <si>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</si>
  <si>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</si>
  <si>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</si>
  <si>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</si>
  <si>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</si>
  <si>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</si>
  <si>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</si>
  <si>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</si>
  <si>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</si>
  <si>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</si>
  <si>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</si>
  <si>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</si>
  <si>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</si>
  <si>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</si>
  <si>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</si>
  <si>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</si>
  <si>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</si>
  <si>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</si>
  <si>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</si>
  <si>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</si>
  <si>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</si>
  <si>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</si>
  <si>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</si>
  <si>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</si>
  <si>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</si>
  <si>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</si>
  <si>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</si>
  <si>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</si>
  <si>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</si>
  <si>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</si>
  <si>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</si>
  <si>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</si>
  <si>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</si>
  <si>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</si>
  <si>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</si>
  <si>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</si>
  <si>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</si>
  <si>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</si>
  <si>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</si>
  <si>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</si>
  <si>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</si>
  <si>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</si>
  <si>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</si>
  <si>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</si>
  <si>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</si>
  <si>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</si>
  <si>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</si>
  <si>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</si>
  <si>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</si>
  <si>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</si>
  <si>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</si>
  <si>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</si>
  <si>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</si>
  <si>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</si>
  <si>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</si>
  <si>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</si>
  <si>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</si>
  <si>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</si>
  <si>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</si>
  <si>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</si>
  <si>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</si>
  <si>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</si>
  <si>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</si>
  <si>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</si>
  <si>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</si>
  <si>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</si>
  <si>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</si>
  <si>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</si>
  <si>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</si>
  <si>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</si>
  <si>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</si>
  <si>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</si>
  <si>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</si>
  <si>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</si>
  <si>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</si>
  <si>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</si>
  <si>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</si>
  <si>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</si>
  <si>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</si>
  <si>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</si>
  <si>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</si>
  <si>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</si>
  <si>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</si>
  <si>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</si>
  <si>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</si>
  <si>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</si>
  <si>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</si>
  <si>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</si>
  <si>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</si>
  <si>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</si>
  <si>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</si>
  <si>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</si>
  <si>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</si>
  <si>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</si>
  <si>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</si>
  <si>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</si>
  <si>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</si>
  <si>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</si>
  <si>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</si>
  <si>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</si>
  <si>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</si>
  <si>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</si>
  <si>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</si>
  <si>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</si>
  <si>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</si>
  <si>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</si>
  <si>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</si>
  <si>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</si>
  <si>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</si>
  <si>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</si>
  <si>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</si>
  <si>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</si>
  <si>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</si>
  <si>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</si>
  <si>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</si>
  <si>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</si>
  <si>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</si>
  <si>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</si>
  <si>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</si>
  <si>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</si>
  <si>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</si>
  <si>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</si>
  <si>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</si>
  <si>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</si>
  <si>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</si>
  <si>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</si>
  <si>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</si>
  <si>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</si>
  <si>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</si>
  <si>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</si>
  <si>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</si>
  <si>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</si>
  <si>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</si>
  <si>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</si>
  <si>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</si>
  <si>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</si>
  <si>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</si>
  <si>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</si>
  <si>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</si>
  <si>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</si>
  <si>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</si>
  <si>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</si>
  <si>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</si>
  <si>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</si>
  <si>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</si>
  <si>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</si>
  <si>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</si>
  <si>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</si>
  <si>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</si>
  <si>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</si>
  <si>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</si>
  <si>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</si>
  <si>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</si>
  <si>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</si>
  <si>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</si>
  <si>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</si>
  <si>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</si>
  <si>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</si>
  <si>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</si>
  <si>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</si>
  <si>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</si>
  <si>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</si>
  <si>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</si>
  <si>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</si>
  <si>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</si>
  <si>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</si>
  <si>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</si>
  <si>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</si>
  <si>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</si>
  <si>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</si>
  <si>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</si>
  <si>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</si>
  <si>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</si>
  <si>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</si>
  <si>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</si>
  <si>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</si>
  <si>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</si>
  <si>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</si>
  <si>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</si>
  <si>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</si>
  <si>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</si>
  <si>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</si>
  <si>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</si>
  <si>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</si>
  <si>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</si>
  <si>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</si>
  <si>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</si>
  <si>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</si>
  <si>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</si>
  <si>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</si>
  <si>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</si>
  <si>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</si>
  <si>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</si>
  <si>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</si>
  <si>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</si>
  <si>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</si>
  <si>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</si>
  <si>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</si>
  <si>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</si>
  <si>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</si>
  <si>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</si>
  <si>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</si>
  <si>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</si>
  <si>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</si>
  <si>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</si>
  <si>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</si>
  <si>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</si>
  <si>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</si>
  <si>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</si>
  <si>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</si>
  <si>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</si>
  <si>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</si>
  <si>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</si>
  <si>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</si>
  <si>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</si>
  <si>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</si>
  <si>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</si>
  <si>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</si>
  <si>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</si>
  <si>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</si>
  <si>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</si>
  <si>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</si>
  <si>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</si>
  <si>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</si>
  <si>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</si>
  <si>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</si>
  <si>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</si>
  <si>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</si>
  <si>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</si>
  <si>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</si>
  <si>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</si>
  <si>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</si>
  <si>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</si>
  <si>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</si>
  <si>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</si>
  <si>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</si>
  <si>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</si>
  <si>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</si>
  <si>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</si>
  <si>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</si>
  <si>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</si>
  <si>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</si>
  <si>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</si>
  <si>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</si>
  <si>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</si>
  <si>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</si>
  <si>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</si>
  <si>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</si>
  <si>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</si>
  <si>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</si>
  <si>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</si>
  <si>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</si>
  <si>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</si>
  <si>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</si>
  <si>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</si>
  <si>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</si>
  <si>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</si>
  <si>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</si>
  <si>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</si>
  <si>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</si>
  <si>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</si>
  <si>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</si>
  <si>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</si>
  <si>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</si>
  <si>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</si>
  <si>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</si>
  <si>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</si>
  <si>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</si>
  <si>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</si>
  <si>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</si>
  <si>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</si>
  <si>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</si>
  <si>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</si>
  <si>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</si>
  <si>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</si>
  <si>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</si>
  <si>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</si>
  <si>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</si>
  <si>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</si>
  <si>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</si>
  <si>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</si>
  <si>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</si>
  <si>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</si>
  <si>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</si>
  <si>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</si>
  <si>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</si>
  <si>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</si>
  <si>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</si>
  <si>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</si>
  <si>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</si>
  <si>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</si>
  <si>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</si>
  <si>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</si>
  <si>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</si>
  <si>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</si>
  <si>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</si>
  <si>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</si>
  <si>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</si>
  <si>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</si>
  <si>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</si>
  <si>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</si>
  <si>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</si>
  <si>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</si>
  <si>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</si>
  <si>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</si>
  <si>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</si>
  <si>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</si>
  <si>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</si>
  <si>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</si>
  <si>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</si>
  <si>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</si>
  <si>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</si>
  <si>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</si>
  <si>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</si>
  <si>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</si>
  <si>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</si>
  <si>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</si>
  <si>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</si>
  <si>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</si>
  <si>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</si>
  <si>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</si>
  <si>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</si>
  <si>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</si>
  <si>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</si>
  <si>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</si>
  <si>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</si>
  <si>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</si>
  <si>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</si>
  <si>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</si>
  <si>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</si>
  <si>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</si>
  <si>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</si>
  <si>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</si>
  <si>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</si>
  <si>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</si>
  <si>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</si>
  <si>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</si>
  <si>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</si>
  <si>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</si>
  <si>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</si>
  <si>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</si>
  <si>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</si>
  <si>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</si>
  <si>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</si>
  <si>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</si>
  <si>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</si>
  <si>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</si>
  <si>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</si>
  <si>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</si>
  <si>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</si>
  <si>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</si>
  <si>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</si>
  <si>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</si>
  <si>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</si>
  <si>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</si>
  <si>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</si>
  <si>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</si>
  <si>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</si>
  <si>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</si>
  <si>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</si>
  <si>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</si>
  <si>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</si>
  <si>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</si>
  <si>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</si>
  <si>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</si>
  <si>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</si>
  <si>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</si>
  <si>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</si>
  <si>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</si>
  <si>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</si>
  <si>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</si>
  <si>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</si>
  <si>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</si>
  <si>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</si>
  <si>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</si>
  <si>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</si>
  <si>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</si>
  <si>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</si>
  <si>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</si>
  <si>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</si>
  <si>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</si>
  <si>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</si>
  <si>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</si>
  <si>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</si>
  <si>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</si>
  <si>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</si>
  <si>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</si>
  <si>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</si>
  <si>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</si>
  <si>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</si>
  <si>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</si>
  <si>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</si>
  <si>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</si>
  <si>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</si>
  <si>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</si>
  <si>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</si>
  <si>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</si>
  <si>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</si>
  <si>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</si>
  <si>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</si>
  <si>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</si>
  <si>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</si>
  <si>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</si>
  <si>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</si>
  <si>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</si>
  <si>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</si>
  <si>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</si>
  <si>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</si>
  <si>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</si>
  <si>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</si>
  <si>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</si>
  <si>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</si>
  <si>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</si>
  <si>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</si>
  <si>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</si>
  <si>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</si>
  <si>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</si>
  <si>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</si>
  <si>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</si>
  <si>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</si>
  <si>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</si>
  <si>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</si>
  <si>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</si>
  <si>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</si>
  <si>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</si>
  <si>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</si>
  <si>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</si>
  <si>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</si>
  <si>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</si>
  <si>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</si>
  <si>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</si>
  <si>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</si>
  <si>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</si>
  <si>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</si>
  <si>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</si>
  <si>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</si>
  <si>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</si>
  <si>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</si>
  <si>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</si>
  <si>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</si>
  <si>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</si>
  <si>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</si>
  <si>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</si>
  <si>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</si>
  <si>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</si>
  <si>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</si>
  <si>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</si>
  <si>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</si>
  <si>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</si>
  <si>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</si>
  <si>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</si>
  <si>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</si>
  <si>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</si>
  <si>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</si>
  <si>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</si>
  <si>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</si>
  <si>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</si>
  <si>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</si>
  <si>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</si>
  <si>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</si>
  <si>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</si>
  <si>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</si>
  <si>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</si>
  <si>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</si>
  <si>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</si>
  <si>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</si>
  <si>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</si>
  <si>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</si>
  <si>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</si>
  <si>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</si>
  <si>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</si>
  <si>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</si>
  <si>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</si>
  <si>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</si>
  <si>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</si>
  <si>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</si>
  <si>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</si>
  <si>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</si>
  <si>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</si>
  <si>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</si>
  <si>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</si>
  <si>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</si>
  <si>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</si>
  <si>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</si>
  <si>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</si>
  <si>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</si>
  <si>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</si>
  <si>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</si>
  <si>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</si>
  <si>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</si>
  <si>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</si>
  <si>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</si>
  <si>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</si>
  <si>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</si>
  <si>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</si>
  <si>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</si>
  <si>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</si>
  <si>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</si>
  <si>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</si>
  <si>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</si>
  <si>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</si>
  <si>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</si>
  <si>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</si>
  <si>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</si>
  <si>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</si>
  <si>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</si>
  <si>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</si>
  <si>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</si>
  <si>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</si>
  <si>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</si>
  <si>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</si>
  <si>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</si>
  <si>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</si>
  <si>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</si>
  <si>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</si>
  <si>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</si>
  <si>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</si>
  <si>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</si>
  <si>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</si>
  <si>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</si>
  <si>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</si>
  <si>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</si>
  <si>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</si>
  <si>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</si>
  <si>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</si>
  <si>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</si>
  <si>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</si>
  <si>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</si>
  <si>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</si>
  <si>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</si>
  <si>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</si>
  <si>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</si>
  <si>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</si>
  <si>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</si>
  <si>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</si>
  <si>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</si>
  <si>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</si>
  <si>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</si>
  <si>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</si>
  <si>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</si>
  <si>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</si>
  <si>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</si>
  <si>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</si>
  <si>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</si>
  <si>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</si>
  <si>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</si>
  <si>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</si>
  <si>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</si>
  <si>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</si>
  <si>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</si>
  <si>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</si>
  <si>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</si>
  <si>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</si>
  <si>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</si>
  <si>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</si>
  <si>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</si>
  <si>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</si>
  <si>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</si>
  <si>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</si>
  <si>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</si>
  <si>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</si>
  <si>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</si>
  <si>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</si>
  <si>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</si>
  <si>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</si>
  <si>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</si>
  <si>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</si>
  <si>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</si>
  <si>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</si>
  <si>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</si>
  <si>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</si>
  <si>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</si>
  <si>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</si>
  <si>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</si>
  <si>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</si>
  <si>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</si>
  <si>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</si>
  <si>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</si>
  <si>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</si>
  <si>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</si>
  <si>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</si>
  <si>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</si>
  <si>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</si>
  <si>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</si>
  <si>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</si>
  <si>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</si>
  <si>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</si>
  <si>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</si>
  <si>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</si>
  <si>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</si>
  <si>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</si>
  <si>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</si>
  <si>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</si>
  <si>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</si>
  <si>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</si>
  <si>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</si>
  <si>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</si>
  <si>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</si>
  <si>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</si>
  <si>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</si>
  <si>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</si>
  <si>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</si>
  <si>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</si>
  <si>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</si>
  <si>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</si>
  <si>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</si>
  <si>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</si>
  <si>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</si>
  <si>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</si>
  <si>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</si>
  <si>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</si>
  <si>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</si>
  <si>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</si>
  <si>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</si>
  <si>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</si>
  <si>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</si>
  <si>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</si>
  <si>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</si>
  <si>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</si>
  <si>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</si>
  <si>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</si>
  <si>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</si>
  <si>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</si>
  <si>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</si>
  <si>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</si>
  <si>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</si>
  <si>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</si>
  <si>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</si>
  <si>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</si>
  <si>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</si>
  <si>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</si>
  <si>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</si>
  <si>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</si>
  <si>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</si>
  <si>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</si>
  <si>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</si>
  <si>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</si>
  <si>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</si>
  <si>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</si>
  <si>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</si>
  <si>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</si>
  <si>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</si>
  <si>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</si>
  <si>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</si>
  <si>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</si>
  <si>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</si>
  <si>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</si>
  <si>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</si>
  <si>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</si>
  <si>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</si>
  <si>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</si>
  <si>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</si>
  <si>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</si>
  <si>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</si>
  <si>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</si>
  <si>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</si>
  <si>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</si>
  <si>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</si>
  <si>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</si>
  <si>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</si>
  <si>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</si>
  <si>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</si>
  <si>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</si>
  <si>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</si>
  <si>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</si>
  <si>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</si>
  <si>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</si>
  <si>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</si>
  <si>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</si>
  <si>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</si>
  <si>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</si>
  <si>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</si>
  <si>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</si>
  <si>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</si>
  <si>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</si>
  <si>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</si>
  <si>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</si>
  <si>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</si>
  <si>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</si>
  <si>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</si>
  <si>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</si>
  <si>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</si>
  <si>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</si>
  <si>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</si>
  <si>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</si>
  <si>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</si>
  <si>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</si>
  <si>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</si>
  <si>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</si>
  <si>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</si>
  <si>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</si>
  <si>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</si>
  <si>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</si>
  <si>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</si>
  <si>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</si>
  <si>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</si>
  <si>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</si>
  <si>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</si>
  <si>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</si>
  <si>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</si>
  <si>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</si>
  <si>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</si>
  <si>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</si>
  <si>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</si>
  <si>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</si>
  <si>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</si>
  <si>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</si>
  <si>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</si>
  <si>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</si>
  <si>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</si>
  <si>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</si>
  <si>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</si>
  <si>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</si>
  <si>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</si>
  <si>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</si>
  <si>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</si>
  <si>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</si>
  <si>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</si>
  <si>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</si>
  <si>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</si>
  <si>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</si>
  <si>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</si>
  <si>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</si>
  <si>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</si>
  <si>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</si>
  <si>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</si>
  <si>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</si>
  <si>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</si>
  <si>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</si>
  <si>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</si>
  <si>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</si>
  <si>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</si>
  <si>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</si>
  <si>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</si>
  <si>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</si>
  <si>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</si>
  <si>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</si>
  <si>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</si>
  <si>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</si>
  <si>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</si>
  <si>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</si>
  <si>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</si>
  <si>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</si>
  <si>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</si>
  <si>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</si>
  <si>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</si>
  <si>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</si>
  <si>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</si>
  <si>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</si>
  <si>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</si>
  <si>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</si>
  <si>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</si>
  <si>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</si>
  <si>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</si>
  <si>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</si>
  <si>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</si>
  <si>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</si>
  <si>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</si>
  <si>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</si>
  <si>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</si>
  <si>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</si>
  <si>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</si>
  <si>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</si>
  <si>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</si>
  <si>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</si>
  <si>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</si>
  <si>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</si>
  <si>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</si>
  <si>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</si>
  <si>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</si>
  <si>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</si>
  <si>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</si>
  <si>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</si>
  <si>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</si>
  <si>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</si>
  <si>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</si>
  <si>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</si>
  <si>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</si>
  <si>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</si>
  <si>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</si>
  <si>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</si>
  <si>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</si>
  <si>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</si>
  <si>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</si>
  <si>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</si>
  <si>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</si>
  <si>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</si>
  <si>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</si>
  <si>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</si>
  <si>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</si>
  <si>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</si>
  <si>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</si>
  <si>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</si>
  <si>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</si>
  <si>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</si>
  <si>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</si>
  <si>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</si>
  <si>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</si>
  <si>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</si>
  <si>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</si>
  <si>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</si>
  <si>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</si>
  <si>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</si>
  <si>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</si>
  <si>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</si>
  <si>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</si>
  <si>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</si>
  <si>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</si>
  <si>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</si>
  <si>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</si>
  <si>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</si>
  <si>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</si>
  <si>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</si>
  <si>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</si>
  <si>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</si>
  <si>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</si>
  <si>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</si>
  <si>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</si>
  <si>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</si>
  <si>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</si>
  <si>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</si>
  <si>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</si>
  <si>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</si>
  <si>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</si>
  <si>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</si>
  <si>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</si>
  <si>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</si>
  <si>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</si>
  <si>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</si>
  <si>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</si>
  <si>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</si>
  <si>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</si>
  <si>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</si>
  <si>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</si>
  <si>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</si>
  <si>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</si>
  <si>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</si>
  <si>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</si>
  <si>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</si>
  <si>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</si>
  <si>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</si>
  <si>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</si>
  <si>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</si>
  <si>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</si>
  <si>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</si>
  <si>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</si>
  <si>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</si>
  <si>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</si>
  <si>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</si>
  <si>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</si>
  <si>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</si>
  <si>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</si>
  <si>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</si>
  <si>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</si>
  <si>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</si>
  <si>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</si>
  <si>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</si>
  <si>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</si>
  <si>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</si>
  <si>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</si>
  <si>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</si>
  <si>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</si>
  <si>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</si>
  <si>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</si>
  <si>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</si>
  <si>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</si>
  <si>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</si>
  <si>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</si>
  <si>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</si>
  <si>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</si>
  <si>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</si>
  <si>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</si>
  <si>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</si>
  <si>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</si>
  <si>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</si>
  <si>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</si>
  <si>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</si>
  <si>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</si>
  <si>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</si>
  <si>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</si>
  <si>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</si>
  <si>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</si>
  <si>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</si>
  <si>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</si>
  <si>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</si>
  <si>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</si>
  <si>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</si>
  <si>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</si>
  <si>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</si>
  <si>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</si>
  <si>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</si>
  <si>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</si>
  <si>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</si>
  <si>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</si>
  <si>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</si>
  <si>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</si>
  <si>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</si>
  <si>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</si>
  <si>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</si>
  <si>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</si>
  <si>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</si>
  <si>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</si>
  <si>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</si>
  <si>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</si>
  <si>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</si>
  <si>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</si>
  <si>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</si>
  <si>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</si>
  <si>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</si>
  <si>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</si>
  <si>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</si>
  <si>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</si>
  <si>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</si>
  <si>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</si>
  <si>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</si>
  <si>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</si>
  <si>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</si>
  <si>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</si>
  <si>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</si>
  <si>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</si>
  <si>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</si>
  <si>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</si>
  <si>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</si>
  <si>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</si>
  <si>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</si>
  <si>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</si>
  <si>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</si>
  <si>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</si>
  <si>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</si>
  <si>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</si>
  <si>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</si>
  <si>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</si>
  <si>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</si>
  <si>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</si>
  <si>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</si>
  <si>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</si>
  <si>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</si>
  <si>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</si>
  <si>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</si>
  <si>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</si>
  <si>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</si>
  <si>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</si>
  <si>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</si>
  <si>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</si>
  <si>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</si>
  <si>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</si>
  <si>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</si>
  <si>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</si>
  <si>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</si>
  <si>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</si>
  <si>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</si>
  <si>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</si>
  <si>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</si>
  <si>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</si>
  <si>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</si>
  <si>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</si>
  <si>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</si>
  <si>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</si>
  <si>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</si>
  <si>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</si>
  <si>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</si>
  <si>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</si>
  <si>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</si>
  <si>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</si>
  <si>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</si>
  <si>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</si>
  <si>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</si>
  <si>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</si>
  <si>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</si>
  <si>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</si>
  <si>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</si>
  <si>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</si>
  <si>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</si>
  <si>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</si>
  <si>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</si>
  <si>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</si>
  <si>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</si>
  <si>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</si>
  <si>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</si>
  <si>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</si>
  <si>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</si>
  <si>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</si>
  <si>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</si>
  <si>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</si>
  <si>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</si>
  <si>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</si>
  <si>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</si>
  <si>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</si>
  <si>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</si>
  <si>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</si>
  <si>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</si>
  <si>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</si>
  <si>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</si>
  <si>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</si>
  <si>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</si>
  <si>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</si>
  <si>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</si>
  <si>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</si>
  <si>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</si>
  <si>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</si>
  <si>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</si>
  <si>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</si>
  <si>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</si>
  <si>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</si>
  <si>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</si>
  <si>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</si>
  <si>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</si>
  <si>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</si>
  <si>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</si>
  <si>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</si>
  <si>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</si>
  <si>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</si>
  <si>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</si>
  <si>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</si>
  <si>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</si>
  <si>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</si>
  <si>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</si>
  <si>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</si>
  <si>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</si>
  <si>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</si>
  <si>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</si>
  <si>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</si>
  <si>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</si>
  <si>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</si>
  <si>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</si>
  <si>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</si>
  <si>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</si>
  <si>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</si>
  <si>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</si>
  <si>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</si>
  <si>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</si>
  <si>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</si>
  <si>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</si>
  <si>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</si>
  <si>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</si>
  <si>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</si>
  <si>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</si>
  <si>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</si>
  <si>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</si>
  <si>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</si>
  <si>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</si>
  <si>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</si>
  <si>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</si>
  <si>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</si>
  <si>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</si>
  <si>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</si>
  <si>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</si>
  <si>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</si>
  <si>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</si>
  <si>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</si>
  <si>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</si>
  <si>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</si>
  <si>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</si>
  <si>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</si>
  <si>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</si>
  <si>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</si>
  <si>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</si>
  <si>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</si>
  <si>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</si>
  <si>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</si>
  <si>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</si>
  <si>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</si>
  <si>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</si>
  <si>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</si>
  <si>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</si>
  <si>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</si>
  <si>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</si>
  <si>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</si>
  <si>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</si>
  <si>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</si>
  <si>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</si>
  <si>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</si>
  <si>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</si>
  <si>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</si>
  <si>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</si>
  <si>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</si>
  <si>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</si>
  <si>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</si>
  <si>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</si>
  <si>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</si>
  <si>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</si>
  <si>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</si>
  <si>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</si>
  <si>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</si>
  <si>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</si>
  <si>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</si>
  <si>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</si>
  <si>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</si>
  <si>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</si>
  <si>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</si>
  <si>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</si>
  <si>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</si>
  <si>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</si>
  <si>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</si>
  <si>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</si>
  <si>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</si>
  <si>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</si>
  <si>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</si>
  <si>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</si>
  <si>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</si>
  <si>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</si>
  <si>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</si>
  <si>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</si>
  <si>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</si>
  <si>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</si>
  <si>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</si>
  <si>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</si>
  <si>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</si>
  <si>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</si>
  <si>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</si>
  <si>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</si>
  <si>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</si>
  <si>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</si>
  <si>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</si>
  <si>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</si>
  <si>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</si>
  <si>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</si>
  <si>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</si>
  <si>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</si>
  <si>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</si>
  <si>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</si>
  <si>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</si>
  <si>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</si>
  <si>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</si>
  <si>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</si>
  <si>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</si>
  <si>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</si>
  <si>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</si>
  <si>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</si>
  <si>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</si>
  <si>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</si>
  <si>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</si>
  <si>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</si>
  <si>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</si>
  <si>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</si>
  <si>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</si>
  <si>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</si>
  <si>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</si>
  <si>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</si>
  <si>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</si>
  <si>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</si>
  <si>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</si>
  <si>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</si>
  <si>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</si>
  <si>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</si>
  <si>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</si>
  <si>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</si>
  <si>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</si>
  <si>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</si>
  <si>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</si>
  <si>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</si>
  <si>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</si>
  <si>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</si>
  <si>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</si>
  <si>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</si>
  <si>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</si>
  <si>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</si>
  <si>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</si>
  <si>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</si>
  <si>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</si>
  <si>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</si>
  <si>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</si>
  <si>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</si>
  <si>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</si>
  <si>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</si>
  <si>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</si>
  <si>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</si>
  <si>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</si>
  <si>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</si>
  <si>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</si>
  <si>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</si>
  <si>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</si>
  <si>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</si>
  <si>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</si>
  <si>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</si>
  <si>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</si>
  <si>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</si>
  <si>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</si>
  <si>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</si>
  <si>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</si>
  <si>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</si>
  <si>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</si>
  <si>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</si>
  <si>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</si>
  <si>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</si>
  <si>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</si>
  <si>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</si>
  <si>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</si>
  <si>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</si>
  <si>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</si>
  <si>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</si>
  <si>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</si>
  <si>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</si>
  <si>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</si>
  <si>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</si>
  <si>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</si>
  <si>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</si>
  <si>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</si>
  <si>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</si>
  <si>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</si>
  <si>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</si>
  <si>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</si>
  <si>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</si>
  <si>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</si>
  <si>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</si>
  <si>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</si>
  <si>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</si>
  <si>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</si>
  <si>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</si>
  <si>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</si>
  <si>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</si>
  <si>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</si>
  <si>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</si>
  <si>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</si>
  <si>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</si>
  <si>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</si>
  <si>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</si>
  <si>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</si>
  <si>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</si>
  <si>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</si>
  <si>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</si>
  <si>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</si>
  <si>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</si>
  <si>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</si>
  <si>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</si>
  <si>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</si>
  <si>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</si>
  <si>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</si>
  <si>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</si>
  <si>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</si>
  <si>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</si>
  <si>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</si>
  <si>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</si>
  <si>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</si>
  <si>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</si>
  <si>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</si>
  <si>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</si>
  <si>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</si>
  <si>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</si>
  <si>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</si>
  <si>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</si>
  <si>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</si>
  <si>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</si>
  <si>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</si>
  <si>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</si>
  <si>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</si>
  <si>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</si>
  <si>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</si>
  <si>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</si>
  <si>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</si>
  <si>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</si>
  <si>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</si>
  <si>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</si>
  <si>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</si>
  <si>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</si>
  <si>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</si>
  <si>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</si>
  <si>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</si>
  <si>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</si>
  <si>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</si>
  <si>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</si>
  <si>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</si>
  <si>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</si>
  <si>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</si>
  <si>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</si>
  <si>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</si>
  <si>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</si>
  <si>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</si>
  <si>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</si>
  <si>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</si>
  <si>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</si>
  <si>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</si>
  <si>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</si>
  <si>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</si>
  <si>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</si>
  <si>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</si>
  <si>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</si>
  <si>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</si>
  <si>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</si>
  <si>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</si>
  <si>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</si>
  <si>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</si>
  <si>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</si>
  <si>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</si>
  <si>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</si>
  <si>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</si>
  <si>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</si>
  <si>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</si>
  <si>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</si>
  <si>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</si>
  <si>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</si>
  <si>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</si>
  <si>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</si>
  <si>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</si>
  <si>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</si>
  <si>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</si>
  <si>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</si>
  <si>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</si>
  <si>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</si>
  <si>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</si>
  <si>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</si>
  <si>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</si>
  <si>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</si>
  <si>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</si>
  <si>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</si>
  <si>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</si>
  <si>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</si>
  <si>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</si>
  <si>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</si>
  <si>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</si>
  <si>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</si>
  <si>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</si>
  <si>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</si>
  <si>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</si>
  <si>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</si>
  <si>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</si>
  <si>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</si>
  <si>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</si>
  <si>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</si>
  <si>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</si>
  <si>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</si>
  <si>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</si>
  <si>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</si>
  <si>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</si>
  <si>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</si>
  <si>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</si>
  <si>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</si>
  <si>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</si>
  <si>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</si>
  <si>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</si>
  <si>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</si>
  <si>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</si>
  <si>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</si>
  <si>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</si>
  <si>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</si>
  <si>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</si>
  <si>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</si>
  <si>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</si>
  <si>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</si>
  <si>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</si>
  <si>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</si>
  <si>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</si>
  <si>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</si>
  <si>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</si>
  <si>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</si>
  <si>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</si>
  <si>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</si>
  <si>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</si>
  <si>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</si>
  <si>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</si>
  <si>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</si>
  <si>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</si>
  <si>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</si>
  <si>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</si>
  <si>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</si>
  <si>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</si>
  <si>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</si>
  <si>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</si>
  <si>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</si>
  <si>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</si>
  <si>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</si>
  <si>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</si>
  <si>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</si>
  <si>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</si>
  <si>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</si>
  <si>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</si>
  <si>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</si>
  <si>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</si>
  <si>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</si>
  <si>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</si>
  <si>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</si>
  <si>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</si>
  <si>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</si>
  <si>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</si>
  <si>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</si>
  <si>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</si>
  <si>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</si>
  <si>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</si>
  <si>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</si>
  <si>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</si>
  <si>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</si>
  <si>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</si>
  <si>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</si>
  <si>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</si>
  <si>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</si>
  <si>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</si>
  <si>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</si>
  <si>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</si>
  <si>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</si>
  <si>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</si>
  <si>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</si>
  <si>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</si>
  <si>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</si>
  <si>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</si>
  <si>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</si>
  <si>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</si>
  <si>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</si>
  <si>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</si>
  <si>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</si>
  <si>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</si>
  <si>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</si>
  <si>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</si>
  <si>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</si>
  <si>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</si>
  <si>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</si>
  <si>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</si>
  <si>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</si>
  <si>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</si>
  <si>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</si>
  <si>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</si>
  <si>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</si>
  <si>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</si>
  <si>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</si>
  <si>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</si>
  <si>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</si>
  <si>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</si>
  <si>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</si>
  <si>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</si>
  <si>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</si>
  <si>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</si>
  <si>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</si>
  <si>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</si>
  <si>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</si>
  <si>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</si>
  <si>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</si>
  <si>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</si>
  <si>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</si>
  <si>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</si>
  <si>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</si>
  <si>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</si>
  <si>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</si>
  <si>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</si>
  <si>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</si>
  <si>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</si>
  <si>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</si>
  <si>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</si>
  <si>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</si>
  <si>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</si>
  <si>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</si>
  <si>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</si>
  <si>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</si>
  <si>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</si>
  <si>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</si>
  <si>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</si>
  <si>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</si>
  <si>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</si>
  <si>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</si>
  <si>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</si>
  <si>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</si>
  <si>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</si>
  <si>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</si>
  <si>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</si>
  <si>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</si>
  <si>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</si>
  <si>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</si>
  <si>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</si>
  <si>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</si>
  <si>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</si>
  <si>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</si>
  <si>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</si>
  <si>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</si>
  <si>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</si>
  <si>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</si>
  <si>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</si>
  <si>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</si>
  <si>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</si>
  <si>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</si>
  <si>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</si>
  <si>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</si>
  <si>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</si>
  <si>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</si>
  <si>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</si>
  <si>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</si>
  <si>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</si>
  <si>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</si>
  <si>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</si>
  <si>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</si>
  <si>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</si>
  <si>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</si>
  <si>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</si>
  <si>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</si>
  <si>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</si>
  <si>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</si>
  <si>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</si>
  <si>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</si>
  <si>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</si>
  <si>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</si>
  <si>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</si>
  <si>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</si>
  <si>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</si>
  <si>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</si>
  <si>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</si>
  <si>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</si>
  <si>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</si>
  <si>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</si>
  <si>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</si>
  <si>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</si>
  <si>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</si>
  <si>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</si>
  <si>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</si>
  <si>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</si>
  <si>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</si>
  <si>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</si>
  <si>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</si>
  <si>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</si>
  <si>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</si>
  <si>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</si>
  <si>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</si>
  <si>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</si>
  <si>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</si>
  <si>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</si>
  <si>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</si>
  <si>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</si>
  <si>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</si>
  <si>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</si>
  <si>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</si>
  <si>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</si>
  <si>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</si>
  <si>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</si>
  <si>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</si>
  <si>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</si>
  <si>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</si>
  <si>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</si>
  <si>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</si>
  <si>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</si>
  <si>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</si>
  <si>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</si>
  <si>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</si>
  <si>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</si>
  <si>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</si>
  <si>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</si>
  <si>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</si>
  <si>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</si>
  <si>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</si>
  <si>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</si>
  <si>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</si>
  <si>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</si>
  <si>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</si>
  <si>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</si>
  <si>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</si>
  <si>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</si>
  <si>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</si>
  <si>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</si>
  <si>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</si>
  <si>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</si>
  <si>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</si>
  <si>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</si>
  <si>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</si>
  <si>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</si>
  <si>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</si>
  <si>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</si>
  <si>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</si>
  <si>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</si>
  <si>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</si>
  <si>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</si>
  <si>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</si>
  <si>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</si>
  <si>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</si>
  <si>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</si>
  <si>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</si>
  <si>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</si>
  <si>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</si>
  <si>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</si>
  <si>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</si>
  <si>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</si>
  <si>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</si>
  <si>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</si>
  <si>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</si>
  <si>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</si>
  <si>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</si>
  <si>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</si>
  <si>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</si>
  <si>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</si>
  <si>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</si>
  <si>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</si>
  <si>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</si>
  <si>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</si>
  <si>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</si>
  <si>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</si>
  <si>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</si>
  <si>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</si>
  <si>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</si>
  <si>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</si>
  <si>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</si>
  <si>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</si>
  <si>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</si>
  <si>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</si>
  <si>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</si>
  <si>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</si>
  <si>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</si>
  <si>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</si>
  <si>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</si>
  <si>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</si>
  <si>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</si>
  <si>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</si>
  <si>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</si>
  <si>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</si>
  <si>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</si>
  <si>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</si>
  <si>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</si>
  <si>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</si>
  <si>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</si>
  <si>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</si>
  <si>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</si>
  <si>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</si>
  <si>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</si>
  <si>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</si>
  <si>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</si>
  <si>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</si>
  <si>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</si>
  <si>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</si>
  <si>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</si>
  <si>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</si>
  <si>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</si>
  <si>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</si>
  <si>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</si>
  <si>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</si>
  <si>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</si>
  <si>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</si>
  <si>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</si>
  <si>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</si>
  <si>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</si>
  <si>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</si>
  <si>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</si>
  <si>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</si>
  <si>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</si>
  <si>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</si>
  <si>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</si>
  <si>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</si>
  <si>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</si>
  <si>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</si>
  <si>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</si>
  <si>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</si>
  <si>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</si>
  <si>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</si>
  <si>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</si>
  <si>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</si>
  <si>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</si>
  <si>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</si>
  <si>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</si>
  <si>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</si>
  <si>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</si>
  <si>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</si>
  <si>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</si>
  <si>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</si>
  <si>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</si>
  <si>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</si>
  <si>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</si>
  <si>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</si>
  <si>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</si>
  <si>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</si>
  <si>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</si>
  <si>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</si>
  <si>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</si>
  <si>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</si>
  <si>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</si>
  <si>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</si>
  <si>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</si>
  <si>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</si>
  <si>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</si>
  <si>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</si>
  <si>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</si>
  <si>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</si>
  <si>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</si>
  <si>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</si>
  <si>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</si>
  <si>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</si>
  <si>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</si>
  <si>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</si>
  <si>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</si>
  <si>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</si>
  <si>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</si>
  <si>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</si>
  <si>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</si>
  <si>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</si>
  <si>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</si>
  <si>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</si>
  <si>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</si>
  <si>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</si>
  <si>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</si>
  <si>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</si>
  <si>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</si>
  <si>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</si>
  <si>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</si>
  <si>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</si>
  <si>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</si>
  <si>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</si>
  <si>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</si>
  <si>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</si>
  <si>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</si>
  <si>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</si>
  <si>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</si>
  <si>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</si>
  <si>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</si>
  <si>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</si>
  <si>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</si>
  <si>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</si>
  <si>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</si>
  <si>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</si>
  <si>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</si>
  <si>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</si>
  <si>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</si>
  <si>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</si>
  <si>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</si>
  <si>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</si>
  <si>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</si>
  <si>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</si>
  <si>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</si>
  <si>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</si>
  <si>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</si>
  <si>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</si>
  <si>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</si>
  <si>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</si>
  <si>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</si>
  <si>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</si>
  <si>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</si>
  <si>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</si>
  <si>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</si>
  <si>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</si>
  <si>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</si>
  <si>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</si>
  <si>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</si>
  <si>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</si>
  <si>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</si>
  <si>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</si>
  <si>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</si>
  <si>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</si>
  <si>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</si>
  <si>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</si>
  <si>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</si>
  <si>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</si>
  <si>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</si>
  <si>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</si>
  <si>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</si>
  <si>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</si>
  <si>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</si>
  <si>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</si>
  <si>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</si>
  <si>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</si>
  <si>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</si>
  <si>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</si>
  <si>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</si>
  <si>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</si>
  <si>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</si>
  <si>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</si>
  <si>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</si>
  <si>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</si>
  <si>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</si>
  <si>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</si>
  <si>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</si>
  <si>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</si>
  <si>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</si>
  <si>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</si>
  <si>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</si>
  <si>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</si>
  <si>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</si>
  <si>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</si>
  <si>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</si>
  <si>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</si>
  <si>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</si>
  <si>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</si>
  <si>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</si>
  <si>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</si>
  <si>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</si>
  <si>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</si>
  <si>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</si>
  <si>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</si>
  <si>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</si>
  <si>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</si>
  <si>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</si>
  <si>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</si>
  <si>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</si>
  <si>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</si>
  <si>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</si>
  <si>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</si>
  <si>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</si>
  <si>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</si>
  <si>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</si>
  <si>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</si>
  <si>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</si>
  <si>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</si>
  <si>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</si>
  <si>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</si>
  <si>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</si>
  <si>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</si>
  <si>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</si>
  <si>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</si>
  <si>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</si>
  <si>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</si>
  <si>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</si>
  <si>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</si>
  <si>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</si>
  <si>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</si>
  <si>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</si>
  <si>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</si>
  <si>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</si>
  <si>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</si>
  <si>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</si>
  <si>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</si>
  <si>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</si>
  <si>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</si>
  <si>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</si>
  <si>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</si>
  <si>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</si>
  <si>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</si>
  <si>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</si>
  <si>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</si>
  <si>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</si>
  <si>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</si>
  <si>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</si>
  <si>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</si>
  <si>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</si>
  <si>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</si>
  <si>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</si>
  <si>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</si>
  <si>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</si>
  <si>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</si>
  <si>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</si>
  <si>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</si>
  <si>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</si>
  <si>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</si>
  <si>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</si>
  <si>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</si>
  <si>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</si>
  <si>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</si>
  <si>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</si>
  <si>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</si>
  <si>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</si>
  <si>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</si>
  <si>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</si>
  <si>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</si>
  <si>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</si>
  <si>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</si>
  <si>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</si>
  <si>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</si>
  <si>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</si>
  <si>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</si>
  <si>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</si>
  <si>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</si>
  <si>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</si>
  <si>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</si>
  <si>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</si>
  <si>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</si>
  <si>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</si>
  <si>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</si>
  <si>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</si>
  <si>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</si>
  <si>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</si>
  <si>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</si>
  <si>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</si>
  <si>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</si>
  <si>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</si>
  <si>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</si>
  <si>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</si>
  <si>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</si>
  <si>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</si>
  <si>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</si>
  <si>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</si>
  <si>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</si>
  <si>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</si>
  <si>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</si>
  <si>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</si>
  <si>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</si>
  <si>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</si>
  <si>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</si>
  <si>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</si>
  <si>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</si>
  <si>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</si>
  <si>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</si>
  <si>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</si>
  <si>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</si>
  <si>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</si>
  <si>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</si>
  <si>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</si>
  <si>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</si>
  <si>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</si>
  <si>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</si>
  <si>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</si>
  <si>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</si>
  <si>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</si>
  <si>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</si>
  <si>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</si>
  <si>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</si>
  <si>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</si>
  <si>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</si>
  <si>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</si>
  <si>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</si>
  <si>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</si>
  <si>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</si>
  <si>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</si>
  <si>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</si>
  <si>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</si>
  <si>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</si>
  <si>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</si>
  <si>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</si>
  <si>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</si>
  <si>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</si>
  <si>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</si>
  <si>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</si>
  <si>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</si>
  <si>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</si>
  <si>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</si>
  <si>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</si>
  <si>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</si>
  <si>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</si>
  <si>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</si>
  <si>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</si>
  <si>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</si>
  <si>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</si>
  <si>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</si>
  <si>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</si>
  <si>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</si>
  <si>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</si>
  <si>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</si>
  <si>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</si>
  <si>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</si>
  <si>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</si>
  <si>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</si>
  <si>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</si>
  <si>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</si>
  <si>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</si>
  <si>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</si>
  <si>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</si>
  <si>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</si>
  <si>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</si>
  <si>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</si>
  <si>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</si>
  <si>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</si>
  <si>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</si>
  <si>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</si>
  <si>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</si>
  <si>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</si>
  <si>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</si>
  <si>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</si>
  <si>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</si>
  <si>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</si>
  <si>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</si>
  <si>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</si>
  <si>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</si>
  <si>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</si>
  <si>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</si>
  <si>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</si>
  <si>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</si>
  <si>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</si>
  <si>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</si>
  <si>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</si>
  <si>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</si>
  <si>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</si>
  <si>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</si>
  <si>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</si>
  <si>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</si>
  <si>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</si>
  <si>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</si>
  <si>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</si>
  <si>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</si>
  <si>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</si>
  <si>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</si>
  <si>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</si>
  <si>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</si>
  <si>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</si>
  <si>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</si>
  <si>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</si>
  <si>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</si>
  <si>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</si>
  <si>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</si>
  <si>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</si>
  <si>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</si>
  <si>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</si>
  <si>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</si>
  <si>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</si>
  <si>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</si>
  <si>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</si>
  <si>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</si>
  <si>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</si>
  <si>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</si>
  <si>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</si>
  <si>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</si>
  <si>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</si>
  <si>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</si>
  <si>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</si>
  <si>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</si>
  <si>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</si>
  <si>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</si>
  <si>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</si>
  <si>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</si>
  <si>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</si>
  <si>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</si>
  <si>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</si>
  <si>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</si>
  <si>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</si>
  <si>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</si>
  <si>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</si>
  <si>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</si>
  <si>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</si>
  <si>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</si>
  <si>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</si>
  <si>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</si>
  <si>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</si>
  <si>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</si>
  <si>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</si>
  <si>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</si>
  <si>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</si>
  <si>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</si>
  <si>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</si>
  <si>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</si>
  <si>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</si>
  <si>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</si>
  <si>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</si>
  <si>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</si>
  <si>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</si>
  <si>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</si>
  <si>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</si>
  <si>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</si>
  <si>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</si>
  <si>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</si>
  <si>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</si>
  <si>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</si>
  <si>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</si>
  <si>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</si>
  <si>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</si>
  <si>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</si>
  <si>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</si>
  <si>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</si>
  <si>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</si>
  <si>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</si>
  <si>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</si>
  <si>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</si>
  <si>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</si>
  <si>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</si>
  <si>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</si>
  <si>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</si>
  <si>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</si>
  <si>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</si>
  <si>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</si>
  <si>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</si>
  <si>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</si>
  <si>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</si>
  <si>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</si>
  <si>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</si>
  <si>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</si>
  <si>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</si>
  <si>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</si>
  <si>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</si>
  <si>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</si>
  <si>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</si>
  <si>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</si>
  <si>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</si>
  <si>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</si>
  <si>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</si>
  <si>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</si>
  <si>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</si>
  <si>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</si>
  <si>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</si>
  <si>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</si>
  <si>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</si>
  <si>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</si>
  <si>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</si>
  <si>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</si>
  <si>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</si>
  <si>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</si>
  <si>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</si>
  <si>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</si>
  <si>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</si>
  <si>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</si>
  <si>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</si>
  <si>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</si>
  <si>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</si>
  <si>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</si>
  <si>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</si>
  <si>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</si>
  <si>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</si>
  <si>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</si>
  <si>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</si>
  <si>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</si>
  <si>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</si>
  <si>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</si>
  <si>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</si>
  <si>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</si>
  <si>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</si>
  <si>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</si>
  <si>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</si>
  <si>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</si>
  <si>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</si>
  <si>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</si>
  <si>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</si>
  <si>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</si>
  <si>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</si>
  <si>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</si>
  <si>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</si>
  <si>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</si>
  <si>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</si>
  <si>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</si>
  <si>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</si>
  <si>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</si>
  <si>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</si>
  <si>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</si>
  <si>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</si>
  <si>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</si>
  <si>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</si>
  <si>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</si>
  <si>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</si>
  <si>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</si>
  <si>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</si>
  <si>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</si>
  <si>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</si>
  <si>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</si>
  <si>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</si>
  <si>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</si>
  <si>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</si>
  <si>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</si>
  <si>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</si>
  <si>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</si>
  <si>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</si>
  <si>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</si>
  <si>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</si>
  <si>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</si>
  <si>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</si>
  <si>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</si>
  <si>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</si>
  <si>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</si>
  <si>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</si>
  <si>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</si>
  <si>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</si>
  <si>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</si>
  <si>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</si>
  <si>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</si>
  <si>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</si>
  <si>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</si>
  <si>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</si>
  <si>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</si>
  <si>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</si>
  <si>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</si>
  <si>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</si>
  <si>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</si>
  <si>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</si>
  <si>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</si>
  <si>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</si>
  <si>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</si>
  <si>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</si>
  <si>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</si>
  <si>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</si>
  <si>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</si>
  <si>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</si>
  <si>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</si>
  <si>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</si>
  <si>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</si>
  <si>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</si>
  <si>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</si>
  <si>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</si>
  <si>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</si>
  <si>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</si>
  <si>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</si>
  <si>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</si>
  <si>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</si>
  <si>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</si>
  <si>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</si>
  <si>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</si>
  <si>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</si>
  <si>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</si>
  <si>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</si>
  <si>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</si>
  <si>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</si>
  <si>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</si>
  <si>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</si>
  <si>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</si>
  <si>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</si>
  <si>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</si>
  <si>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</si>
  <si>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</si>
  <si>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</si>
  <si>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</si>
  <si>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</si>
  <si>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</si>
  <si>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</si>
  <si>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</si>
  <si>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</si>
  <si>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</si>
  <si>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</si>
  <si>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</si>
  <si>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</si>
  <si>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</si>
  <si>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</si>
  <si>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</si>
  <si>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</si>
  <si>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</si>
  <si>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</si>
  <si>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</si>
  <si>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</si>
  <si>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</si>
  <si>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</si>
  <si>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</si>
  <si>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</si>
  <si>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</si>
  <si>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</si>
  <si>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</si>
  <si>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</si>
  <si>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</si>
  <si>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</si>
  <si>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</si>
  <si>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</si>
  <si>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</si>
  <si>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</si>
  <si>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</si>
  <si>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</si>
  <si>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</si>
  <si>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</si>
  <si>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</si>
  <si>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</si>
  <si>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</si>
  <si>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</si>
  <si>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</si>
  <si>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</si>
  <si>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</si>
  <si>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</si>
  <si>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</si>
  <si>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</si>
  <si>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</si>
  <si>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</si>
  <si>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</si>
  <si>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</si>
  <si>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</si>
  <si>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</si>
  <si>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</si>
  <si>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</si>
  <si>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</si>
  <si>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</si>
  <si>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</si>
  <si>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</si>
  <si>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</si>
  <si>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</si>
  <si>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</si>
  <si>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</si>
  <si>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</si>
  <si>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</si>
  <si>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</si>
  <si>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</si>
  <si>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</si>
  <si>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</si>
  <si>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</si>
  <si>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</si>
  <si>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</si>
  <si>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</si>
  <si>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</si>
  <si>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</si>
  <si>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</si>
  <si>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</si>
  <si>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</si>
  <si>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</si>
  <si>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</si>
  <si>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</si>
  <si>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</si>
  <si>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</si>
  <si>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</si>
  <si>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</si>
  <si>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</si>
  <si>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</si>
  <si>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</si>
  <si>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</si>
  <si>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</si>
  <si>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</si>
  <si>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</si>
  <si>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</si>
  <si>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</si>
  <si>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</si>
  <si>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</si>
  <si>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</si>
  <si>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</si>
  <si>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</si>
  <si>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</si>
  <si>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</si>
  <si>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</si>
  <si>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</si>
  <si>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</si>
  <si>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</si>
  <si>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</si>
  <si>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</si>
  <si>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</si>
  <si>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</si>
  <si>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</si>
  <si>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</si>
  <si>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</si>
  <si>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</si>
  <si>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</si>
  <si>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</si>
  <si>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</si>
  <si>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</si>
  <si>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</si>
  <si>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</si>
  <si>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</si>
  <si>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</si>
  <si>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</si>
  <si>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</si>
  <si>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</si>
  <si>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</si>
  <si>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</si>
  <si>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</si>
  <si>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</si>
  <si>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</si>
  <si>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</si>
  <si>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</si>
  <si>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</si>
  <si>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</si>
  <si>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</si>
  <si>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</si>
  <si>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</si>
  <si>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</si>
  <si>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</si>
  <si>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</si>
  <si>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</si>
  <si>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</si>
  <si>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</si>
  <si>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</si>
  <si>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</si>
  <si>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</si>
  <si>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</si>
  <si>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</si>
  <si>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</si>
  <si>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</si>
  <si>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</si>
  <si>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</si>
  <si>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</si>
  <si>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</si>
  <si>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</si>
  <si>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</si>
  <si>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</si>
  <si>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</si>
  <si>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</si>
  <si>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</si>
  <si>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</si>
  <si>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</si>
  <si>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</si>
  <si>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</si>
  <si>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</si>
  <si>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</si>
  <si>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</si>
  <si>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</si>
  <si>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</si>
  <si>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</si>
  <si>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</si>
  <si>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</si>
  <si>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</si>
  <si>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</si>
  <si>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</si>
  <si>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</si>
  <si>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</si>
  <si>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</si>
  <si>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</si>
  <si>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</si>
  <si>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</si>
  <si>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</si>
  <si>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</si>
  <si>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</si>
  <si>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</si>
  <si>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</si>
  <si>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</si>
  <si>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</si>
  <si>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</si>
  <si>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</si>
  <si>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</si>
  <si>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</si>
  <si>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</si>
  <si>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</si>
  <si>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</si>
  <si>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</si>
  <si>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</si>
  <si>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</si>
  <si>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</si>
  <si>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</si>
  <si>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</si>
  <si>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</si>
  <si>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</si>
  <si>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</si>
  <si>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</si>
  <si>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</si>
  <si>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</si>
  <si>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</si>
  <si>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</si>
  <si>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</si>
  <si>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</si>
  <si>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</si>
  <si>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</si>
  <si>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</si>
  <si>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</si>
  <si>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</si>
  <si>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</si>
  <si>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</si>
  <si>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</si>
  <si>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</si>
  <si>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</si>
  <si>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</si>
  <si>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</si>
  <si>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</si>
  <si>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</si>
  <si>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</si>
  <si>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</si>
  <si>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</si>
  <si>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</si>
  <si>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</si>
  <si>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</si>
  <si>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</si>
  <si>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</si>
  <si>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</si>
  <si>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</si>
  <si>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</si>
  <si>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</si>
  <si>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</si>
  <si>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</si>
  <si>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</si>
  <si>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</si>
  <si>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</si>
  <si>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</si>
  <si>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</si>
  <si>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</si>
  <si>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</si>
  <si>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</si>
  <si>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</si>
  <si>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</si>
  <si>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</si>
  <si>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</si>
  <si>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</si>
  <si>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</si>
  <si>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</si>
  <si>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</si>
  <si>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</si>
  <si>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</si>
  <si>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</si>
  <si>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</si>
  <si>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</si>
  <si>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</si>
  <si>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</si>
  <si>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</si>
  <si>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</si>
  <si>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</si>
  <si>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</si>
  <si>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</si>
  <si>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</si>
  <si>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</si>
  <si>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</si>
  <si>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</si>
  <si>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</si>
  <si>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</si>
  <si>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</si>
  <si>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</si>
  <si>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</si>
  <si>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</si>
  <si>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</si>
  <si>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</si>
  <si>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</si>
  <si>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</si>
  <si>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</si>
  <si>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</si>
  <si>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</si>
  <si>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</si>
  <si>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</si>
  <si>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</si>
  <si>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</si>
  <si>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</si>
  <si>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</si>
  <si>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</si>
  <si>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</si>
  <si>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</si>
  <si>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</si>
  <si>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</si>
  <si>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</si>
  <si>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</si>
  <si>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</si>
  <si>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</si>
  <si>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</si>
  <si>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</si>
  <si>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</si>
  <si>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</si>
  <si>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</si>
  <si>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</si>
  <si>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</si>
  <si>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</si>
  <si>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</si>
  <si>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</si>
  <si>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</si>
  <si>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</si>
  <si>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</si>
  <si>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</si>
  <si>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</si>
  <si>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</si>
  <si>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</si>
  <si>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</si>
  <si>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</si>
  <si>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</si>
  <si>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</si>
  <si>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</si>
  <si>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</si>
  <si>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</si>
  <si>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</si>
  <si>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</si>
  <si>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</si>
  <si>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</si>
  <si>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</si>
  <si>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</si>
  <si>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</si>
  <si>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</si>
  <si>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</si>
  <si>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</si>
  <si>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</si>
  <si>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</si>
  <si>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</si>
  <si>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</si>
  <si>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</si>
  <si>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</si>
  <si>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</si>
  <si>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</si>
  <si>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</si>
  <si>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</si>
  <si>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</si>
  <si>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</si>
  <si>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</si>
  <si>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</si>
  <si>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</si>
  <si>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</si>
  <si>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</si>
  <si>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</si>
  <si>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</si>
  <si>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</si>
  <si>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</si>
  <si>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</si>
  <si>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</si>
  <si>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</si>
  <si>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</si>
  <si>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</si>
  <si>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</si>
  <si>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</si>
  <si>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</si>
  <si>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</si>
  <si>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</si>
  <si>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</si>
  <si>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</si>
  <si>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</si>
  <si>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</si>
  <si>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</si>
  <si>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</si>
  <si>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</si>
  <si>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</si>
  <si>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</si>
  <si>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</si>
  <si>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</si>
  <si>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</si>
  <si>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</si>
  <si>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</si>
  <si>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</si>
  <si>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</si>
  <si>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</si>
  <si>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</si>
  <si>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</si>
  <si>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</si>
  <si>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</si>
  <si>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</si>
  <si>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</si>
  <si>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</si>
  <si>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</si>
  <si>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</si>
  <si>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</si>
  <si>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</si>
  <si>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</si>
  <si>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</si>
  <si>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</si>
  <si>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</si>
  <si>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</si>
  <si>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</si>
  <si>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</si>
  <si>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</si>
  <si>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</si>
  <si>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</si>
  <si>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</si>
  <si>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</si>
  <si>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</si>
  <si>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</si>
  <si>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</si>
  <si>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</si>
  <si>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</si>
  <si>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</si>
  <si>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</si>
  <si>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</si>
  <si>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</si>
  <si>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</si>
  <si>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</si>
  <si>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</si>
  <si>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</si>
  <si>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</si>
  <si>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</si>
  <si>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</si>
  <si>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</si>
  <si>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</si>
  <si>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</si>
  <si>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</si>
  <si>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</si>
  <si>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</si>
  <si>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</si>
  <si>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</si>
  <si>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</si>
  <si>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</si>
  <si>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</si>
  <si>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</si>
  <si>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</si>
  <si>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</si>
  <si>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</si>
  <si>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</si>
  <si>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</si>
  <si>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</si>
  <si>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</si>
  <si>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</si>
  <si>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</si>
  <si>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</si>
  <si>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</si>
  <si>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</si>
  <si>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</si>
  <si>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</si>
  <si>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</si>
  <si>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</si>
  <si>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</si>
  <si>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</si>
  <si>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</si>
  <si>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</si>
  <si>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</si>
  <si>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</si>
  <si>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</si>
  <si>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</si>
  <si>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</si>
  <si>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</si>
  <si>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</si>
  <si>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</si>
  <si>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</si>
  <si>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</si>
  <si>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</si>
  <si>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</si>
  <si>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</si>
  <si>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</si>
  <si>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</si>
  <si>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</si>
  <si>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</si>
  <si>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</si>
  <si>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</si>
  <si>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</si>
  <si>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</si>
  <si>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</si>
  <si>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</si>
  <si>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</si>
  <si>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</si>
  <si>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</si>
  <si>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</si>
  <si>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</si>
  <si>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</si>
  <si>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</si>
  <si>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</si>
  <si>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</si>
  <si>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</si>
  <si>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</si>
  <si>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</si>
  <si>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</si>
  <si>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</si>
  <si>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</si>
  <si>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</si>
  <si>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</si>
  <si>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</si>
  <si>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</si>
  <si>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</si>
  <si>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</si>
  <si>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</si>
  <si>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</si>
  <si>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</si>
  <si>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</si>
  <si>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</si>
  <si>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</si>
  <si>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</si>
  <si>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</si>
  <si>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</si>
  <si>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</si>
  <si>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</si>
  <si>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</si>
  <si>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</si>
  <si>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</si>
  <si>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</si>
  <si>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</si>
  <si>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</si>
  <si>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</si>
  <si>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</si>
  <si>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</si>
  <si>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</si>
  <si>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</si>
  <si>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</si>
  <si>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</si>
  <si>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</si>
  <si>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</si>
  <si>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</si>
  <si>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</si>
  <si>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</si>
  <si>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</si>
  <si>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</si>
  <si>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</si>
  <si>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</si>
  <si>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</si>
  <si>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</si>
  <si>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</si>
  <si>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</si>
  <si>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</si>
  <si>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</si>
  <si>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</si>
  <si>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</si>
  <si>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</si>
  <si>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</si>
  <si>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</si>
  <si>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</si>
  <si>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</si>
  <si>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</si>
  <si>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</si>
  <si>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</si>
  <si>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</si>
  <si>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</si>
  <si>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</si>
  <si>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</si>
  <si>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</si>
  <si>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</si>
  <si>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</si>
  <si>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</si>
  <si>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</si>
  <si>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</si>
  <si>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</si>
  <si>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</si>
  <si>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</si>
  <si>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</si>
  <si>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</si>
  <si>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</si>
  <si>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</si>
  <si>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</si>
  <si>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</si>
  <si>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</si>
  <si>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</si>
  <si>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</si>
  <si>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</si>
  <si>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</si>
  <si>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</si>
  <si>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</si>
  <si>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</si>
  <si>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</si>
  <si>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</si>
  <si>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</si>
  <si>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</si>
  <si>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</si>
  <si>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</si>
  <si>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</si>
  <si>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</si>
  <si>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</si>
  <si>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</si>
  <si>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</si>
  <si>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</si>
  <si>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</si>
  <si>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</si>
  <si>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</si>
  <si>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</si>
  <si>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</si>
  <si>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</si>
  <si>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</si>
  <si>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</si>
  <si>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</si>
  <si>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</si>
  <si>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</si>
  <si>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</si>
  <si>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</si>
  <si>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</si>
  <si>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</si>
  <si>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</si>
  <si>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</si>
  <si>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</si>
  <si>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</si>
  <si>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</si>
  <si>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</si>
  <si>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</si>
  <si>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</si>
  <si>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</si>
  <si>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</si>
  <si>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</si>
  <si>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</si>
  <si>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</si>
  <si>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</si>
  <si>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</si>
  <si>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</si>
  <si>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</si>
  <si>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</si>
  <si>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</si>
  <si>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</si>
  <si>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</si>
  <si>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</si>
  <si>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</si>
  <si>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</si>
  <si>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</si>
  <si>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</si>
  <si>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</si>
  <si>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</si>
  <si>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</si>
  <si>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</si>
  <si>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</si>
  <si>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</si>
  <si>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</si>
  <si>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</si>
  <si>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</si>
  <si>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</si>
  <si>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</si>
  <si>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</si>
  <si>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</si>
  <si>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</si>
  <si>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</si>
  <si>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</si>
  <si>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</si>
  <si>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</si>
  <si>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</si>
  <si>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</si>
  <si>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</si>
  <si>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</si>
  <si>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</si>
  <si>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</si>
  <si>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</si>
  <si>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</si>
  <si>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</si>
  <si>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</si>
  <si>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</si>
  <si>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</si>
  <si>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</si>
  <si>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</si>
  <si>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</si>
  <si>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</si>
  <si>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</si>
  <si>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</si>
  <si>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</si>
  <si>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</si>
  <si>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</si>
  <si>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</si>
  <si>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</si>
  <si>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</si>
  <si>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</si>
  <si>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</si>
  <si>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</si>
  <si>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</si>
  <si>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</si>
  <si>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</si>
  <si>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</si>
  <si>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</si>
  <si>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</si>
  <si>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</si>
  <si>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</si>
  <si>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</si>
  <si>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</si>
  <si>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</si>
  <si>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</si>
  <si>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</si>
  <si>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</si>
  <si>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</si>
  <si>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</si>
  <si>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</si>
  <si>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</si>
  <si>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</si>
  <si>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</si>
  <si>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</si>
  <si>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</si>
  <si>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</si>
  <si>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</si>
  <si>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</si>
  <si>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</si>
  <si>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</si>
  <si>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</si>
  <si>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</si>
  <si>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</si>
  <si>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</si>
  <si>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</si>
  <si>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</si>
  <si>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</si>
  <si>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</si>
  <si>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</si>
  <si>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</si>
  <si>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</si>
  <si>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</si>
  <si>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</si>
  <si>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</si>
  <si>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</si>
  <si>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</si>
  <si>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</si>
  <si>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</si>
  <si>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</si>
  <si>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</si>
  <si>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</si>
  <si>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</si>
  <si>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</si>
  <si>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</si>
  <si>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</si>
  <si>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</si>
  <si>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</si>
  <si>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</si>
  <si>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</si>
  <si>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</si>
  <si>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</si>
  <si>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</si>
  <si>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</si>
  <si>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</si>
  <si>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</si>
  <si>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</si>
  <si>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</si>
  <si>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</si>
  <si>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</si>
  <si>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</si>
  <si>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</si>
  <si>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</si>
  <si>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</si>
  <si>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</si>
  <si>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</si>
  <si>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</si>
  <si>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</si>
  <si>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</si>
  <si>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</si>
  <si>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</si>
  <si>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</si>
  <si>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</si>
  <si>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</si>
  <si>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</si>
  <si>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</si>
  <si>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</si>
  <si>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</si>
  <si>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</si>
  <si>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</si>
  <si>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</si>
  <si>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</si>
  <si>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</si>
  <si>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</si>
  <si>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</si>
  <si>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</si>
  <si>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</si>
  <si>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</si>
  <si>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</si>
  <si>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</si>
  <si>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</si>
  <si>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</si>
  <si>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</si>
  <si>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</si>
  <si>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</si>
  <si>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</si>
  <si>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</si>
  <si>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</si>
  <si>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</si>
  <si>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</si>
  <si>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</si>
  <si>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</si>
  <si>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</si>
  <si>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</si>
  <si>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</si>
  <si>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</si>
  <si>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</si>
  <si>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</si>
  <si>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</si>
  <si>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</si>
  <si>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</si>
  <si>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</si>
  <si>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</si>
  <si>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</si>
  <si>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</si>
  <si>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</si>
  <si>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</si>
  <si>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</si>
  <si>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</si>
  <si>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</si>
  <si>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</si>
  <si>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</si>
  <si>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</si>
  <si>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</si>
  <si>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</si>
  <si>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</si>
  <si>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</si>
  <si>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</si>
  <si>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</si>
  <si>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</si>
  <si>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</si>
  <si>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</si>
  <si>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</si>
  <si>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</si>
  <si>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</si>
  <si>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</si>
  <si>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</si>
  <si>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</si>
  <si>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</si>
  <si>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</si>
  <si>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</si>
  <si>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</si>
  <si>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</si>
  <si>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</si>
  <si>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</si>
  <si>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</si>
  <si>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</si>
  <si>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</si>
  <si>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</si>
  <si>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</si>
  <si>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</si>
  <si>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</si>
  <si>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</si>
  <si>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</si>
  <si>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</si>
  <si>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</si>
  <si>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</si>
  <si>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</si>
  <si>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</si>
  <si>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</si>
  <si>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</si>
  <si>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</si>
  <si>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</si>
  <si>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</si>
  <si>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</si>
  <si>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</si>
  <si>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</si>
  <si>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</si>
  <si>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</si>
  <si>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</si>
  <si>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</si>
  <si>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</si>
  <si>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</si>
  <si>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</si>
  <si>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</si>
  <si>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</si>
  <si>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</si>
  <si>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</si>
  <si>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</si>
  <si>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</si>
  <si>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</si>
  <si>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</si>
  <si>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</si>
  <si>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</si>
  <si>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</si>
  <si>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</si>
  <si>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</si>
  <si>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</si>
  <si>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</si>
  <si>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</si>
  <si>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</si>
  <si>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</si>
  <si>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</si>
  <si>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</si>
  <si>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</si>
  <si>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</si>
  <si>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</si>
  <si>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</si>
  <si>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</si>
  <si>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</si>
  <si>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</si>
  <si>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</si>
  <si>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</si>
  <si>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</si>
  <si>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</si>
  <si>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</si>
  <si>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</si>
  <si>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</si>
  <si>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</si>
  <si>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</si>
  <si>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</si>
  <si>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</si>
  <si>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</si>
  <si>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</si>
  <si>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</si>
  <si>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</si>
  <si>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</si>
  <si>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</si>
  <si>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</si>
  <si>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</si>
  <si>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</si>
  <si>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</si>
  <si>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</si>
  <si>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</si>
  <si>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</si>
  <si>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</si>
  <si>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</si>
  <si>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</si>
  <si>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</si>
  <si>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</si>
  <si>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</si>
  <si>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</si>
  <si>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</si>
  <si>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</si>
  <si>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</si>
  <si>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</si>
  <si>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</si>
  <si>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</si>
  <si>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</si>
  <si>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</si>
  <si>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</si>
  <si>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</si>
  <si>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</si>
  <si>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</si>
  <si>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</si>
  <si>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</si>
  <si>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</si>
  <si>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</si>
  <si>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</si>
  <si>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</si>
  <si>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</si>
  <si>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</si>
  <si>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</si>
  <si>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</si>
  <si>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</si>
  <si>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</si>
  <si>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</si>
  <si>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</si>
  <si>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</si>
  <si>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</si>
  <si>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</si>
  <si>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</si>
  <si>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</si>
  <si>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</si>
  <si>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</si>
  <si>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</si>
  <si>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</si>
  <si>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</si>
  <si>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</si>
  <si>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</si>
  <si>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</si>
  <si>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</si>
  <si>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</si>
  <si>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</si>
  <si>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</si>
  <si>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</si>
  <si>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</si>
  <si>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</si>
  <si>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</si>
  <si>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</si>
  <si>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</si>
  <si>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</si>
  <si>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</si>
  <si>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</si>
  <si>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</si>
  <si>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</si>
  <si>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</si>
  <si>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</si>
  <si>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</si>
  <si>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</si>
  <si>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</si>
  <si>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</si>
  <si>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</si>
  <si>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</si>
  <si>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</si>
  <si>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</si>
  <si>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</si>
  <si>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</si>
  <si>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</si>
  <si>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</si>
  <si>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</si>
  <si>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</si>
  <si>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</si>
  <si>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</si>
  <si>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</si>
  <si>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</si>
  <si>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</si>
  <si>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</si>
  <si>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</si>
  <si>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</si>
  <si>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</si>
  <si>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</si>
  <si>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</si>
  <si>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</si>
  <si>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</si>
  <si>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</si>
  <si>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</si>
  <si>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</si>
  <si>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</si>
  <si>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</si>
  <si>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</si>
  <si>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</si>
  <si>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</si>
  <si>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</si>
  <si>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</si>
  <si>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</si>
  <si>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</si>
  <si>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</si>
  <si>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</si>
  <si>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</si>
  <si>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</si>
  <si>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</si>
  <si>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</si>
  <si>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</si>
  <si>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</si>
  <si>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</si>
  <si>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</si>
  <si>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</si>
  <si>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</si>
  <si>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</si>
  <si>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</si>
  <si>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</si>
  <si>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</si>
  <si>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</si>
  <si>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</si>
  <si>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</si>
  <si>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</si>
  <si>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</si>
  <si>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</si>
  <si>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</si>
  <si>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</si>
  <si>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</si>
  <si>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</si>
  <si>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</si>
  <si>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</si>
  <si>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</si>
  <si>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</si>
  <si>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</si>
  <si>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</si>
  <si>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</si>
  <si>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</si>
  <si>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</si>
  <si>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</si>
  <si>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</si>
  <si>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</si>
  <si>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</si>
  <si>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</si>
  <si>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</si>
  <si>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</si>
  <si>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</si>
  <si>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</si>
  <si>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</si>
  <si>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</si>
  <si>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</si>
  <si>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</si>
  <si>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</si>
  <si>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</si>
  <si>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</si>
  <si>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</si>
  <si>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</si>
  <si>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</si>
  <si>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</si>
  <si>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</si>
  <si>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</si>
  <si>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</si>
  <si>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</si>
  <si>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</si>
  <si>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</si>
  <si>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</si>
  <si>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</si>
  <si>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</si>
  <si>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</si>
  <si>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</si>
  <si>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</si>
  <si>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</si>
  <si>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</si>
  <si>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</si>
  <si>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</si>
  <si>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</si>
  <si>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</si>
  <si>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</si>
  <si>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</si>
  <si>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</si>
  <si>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</si>
  <si>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</si>
  <si>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</si>
  <si>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</si>
  <si>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</si>
  <si>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</si>
  <si>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</si>
  <si>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</si>
  <si>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</si>
  <si>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</si>
  <si>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</si>
  <si>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</si>
  <si>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</si>
  <si>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</si>
  <si>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</si>
  <si>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</si>
  <si>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</si>
  <si>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</si>
  <si>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</si>
  <si>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</si>
  <si>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</si>
  <si>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</si>
  <si>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</si>
  <si>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</si>
  <si>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</si>
  <si>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</si>
  <si>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</si>
  <si>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</si>
  <si>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</si>
  <si>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</si>
  <si>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</si>
  <si>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</si>
  <si>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</si>
  <si>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</si>
  <si>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</si>
  <si>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</si>
  <si>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</si>
  <si>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</si>
  <si>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</si>
  <si>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</si>
  <si>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</si>
  <si>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</si>
  <si>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</si>
  <si>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</si>
  <si>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</si>
  <si>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</si>
  <si>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</si>
  <si>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</si>
  <si>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</si>
  <si>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</si>
  <si>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</si>
  <si>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</si>
  <si>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</si>
  <si>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</si>
  <si>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</si>
  <si>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</si>
  <si>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</si>
  <si>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</si>
  <si>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</si>
  <si>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</si>
  <si>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</si>
  <si>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</si>
  <si>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</si>
  <si>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</si>
  <si>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</si>
  <si>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</si>
  <si>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</si>
  <si>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</si>
  <si>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</si>
  <si>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</si>
  <si>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</si>
  <si>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</si>
  <si>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</si>
  <si>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</si>
  <si>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</si>
  <si>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</si>
  <si>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</si>
  <si>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</si>
  <si>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</si>
  <si>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</si>
  <si>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</si>
  <si>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</si>
  <si>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</si>
  <si>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</si>
  <si>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</si>
  <si>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</si>
  <si>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</si>
  <si>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</si>
  <si>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</si>
  <si>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</si>
  <si>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</si>
  <si>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</si>
  <si>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</si>
  <si>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</si>
  <si>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</si>
  <si>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</si>
  <si>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</si>
  <si>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</si>
  <si>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</si>
  <si>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</si>
  <si>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</si>
  <si>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</si>
  <si>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</si>
  <si>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</si>
  <si>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</si>
  <si>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</si>
  <si>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</si>
  <si>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</si>
  <si>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</si>
  <si>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</si>
  <si>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</si>
  <si>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</si>
  <si>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</si>
  <si>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</si>
  <si>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</si>
  <si>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</si>
  <si>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</si>
  <si>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</si>
  <si>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</si>
  <si>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</si>
  <si>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</si>
  <si>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</si>
  <si>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</si>
  <si>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</si>
  <si>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</si>
  <si>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</si>
  <si>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</si>
  <si>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</si>
  <si>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</si>
  <si>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</si>
  <si>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</si>
  <si>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</si>
  <si>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</si>
  <si>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</si>
  <si>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</si>
  <si>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</si>
  <si>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</si>
  <si>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</si>
  <si>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</si>
  <si>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</si>
  <si>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</si>
  <si>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</si>
  <si>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</si>
  <si>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</si>
  <si>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</si>
  <si>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</si>
  <si>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</si>
  <si>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</si>
  <si>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</si>
  <si>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</si>
  <si>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</si>
  <si>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</si>
  <si>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</si>
  <si>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</si>
  <si>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</si>
  <si>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</si>
  <si>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</si>
  <si>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</si>
  <si>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</si>
  <si>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</si>
  <si>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</si>
  <si>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</si>
  <si>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</si>
  <si>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</si>
  <si>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</si>
  <si>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</si>
  <si>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</si>
  <si>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</si>
  <si>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</si>
  <si>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</si>
  <si>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</si>
  <si>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</si>
  <si>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</si>
  <si>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</si>
  <si>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</si>
  <si>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</si>
  <si>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</si>
  <si>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</si>
  <si>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</si>
  <si>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</si>
  <si>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</si>
  <si>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</si>
  <si>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</si>
  <si>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</si>
  <si>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</si>
  <si>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</si>
  <si>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</si>
  <si>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</si>
  <si>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</si>
  <si>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</si>
  <si>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</si>
  <si>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</si>
  <si>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</si>
  <si>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</si>
  <si>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</si>
  <si>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</si>
  <si>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</si>
  <si>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</si>
  <si>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</si>
  <si>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</si>
  <si>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</si>
  <si>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</si>
  <si>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</si>
  <si>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</si>
  <si>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</si>
  <si>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</si>
  <si>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</si>
  <si>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</si>
  <si>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</si>
  <si>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</si>
  <si>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</si>
  <si>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</si>
  <si>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</si>
  <si>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</si>
  <si>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</si>
  <si>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</si>
  <si>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</si>
  <si>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</si>
  <si>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</si>
  <si>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</si>
  <si>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</si>
  <si>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</si>
  <si>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</si>
  <si>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</si>
  <si>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</si>
  <si>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</si>
  <si>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</si>
  <si>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</si>
  <si>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</si>
  <si>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</si>
  <si>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</si>
  <si>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</si>
  <si>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</si>
  <si>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</si>
  <si>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</si>
  <si>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</si>
  <si>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</si>
  <si>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</si>
  <si>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</si>
  <si>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</si>
  <si>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</si>
  <si>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</si>
  <si>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</si>
  <si>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</si>
  <si>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</si>
  <si>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</si>
  <si>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</si>
  <si>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</si>
  <si>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</si>
  <si>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</si>
  <si>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</si>
  <si>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</si>
  <si>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</si>
  <si>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</si>
  <si>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</si>
  <si>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</si>
  <si>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</si>
  <si>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</si>
  <si>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</si>
  <si>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</si>
  <si>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</si>
  <si>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</si>
  <si>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</si>
  <si>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</si>
  <si>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</si>
  <si>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</si>
  <si>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</si>
  <si>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</si>
  <si>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</si>
  <si>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</si>
  <si>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</si>
  <si>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</si>
  <si>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</si>
  <si>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</si>
  <si>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</si>
  <si>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</si>
  <si>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</si>
  <si>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</si>
  <si>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</si>
  <si>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</si>
  <si>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</si>
  <si>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</si>
  <si>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</si>
  <si>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</si>
  <si>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</si>
  <si>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</si>
  <si>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</si>
  <si>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</si>
  <si>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</si>
  <si>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</si>
  <si>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</si>
  <si>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</si>
  <si>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</si>
  <si>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</si>
  <si>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</si>
  <si>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</si>
  <si>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</si>
  <si>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</si>
  <si>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</si>
  <si>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</si>
  <si>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</si>
  <si>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</si>
  <si>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</si>
  <si>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</si>
  <si>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</si>
  <si>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</si>
  <si>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</si>
  <si>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</si>
  <si>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</si>
  <si>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</si>
  <si>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</si>
  <si>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</si>
  <si>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</si>
  <si>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</si>
  <si>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</si>
  <si>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</si>
  <si>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</si>
  <si>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</si>
  <si>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</si>
  <si>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</si>
  <si>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</si>
  <si>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</si>
  <si>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</si>
  <si>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</si>
  <si>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</si>
  <si>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</si>
  <si>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</si>
  <si>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</si>
  <si>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</si>
  <si>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</si>
  <si>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</si>
  <si>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</si>
  <si>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</si>
  <si>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</si>
  <si>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</si>
  <si>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</si>
  <si>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</si>
  <si>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</si>
  <si>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</si>
  <si>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</si>
  <si>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</si>
  <si>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</si>
  <si>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</si>
  <si>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</si>
  <si>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</si>
  <si>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</si>
  <si>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</si>
  <si>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</si>
  <si>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</si>
  <si>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</si>
  <si>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</si>
  <si>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</si>
  <si>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</si>
  <si>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</si>
  <si>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</si>
  <si>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</si>
  <si>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</si>
  <si>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</si>
  <si>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</si>
  <si>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</si>
  <si>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</si>
  <si>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</si>
  <si>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</si>
  <si>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</si>
  <si>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</si>
  <si>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</si>
  <si>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</si>
  <si>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</si>
  <si>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</si>
  <si>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</si>
  <si>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</si>
  <si>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</si>
  <si>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</si>
  <si>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</si>
  <si>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</si>
  <si>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</si>
  <si>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</si>
  <si>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</si>
  <si>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</si>
  <si>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</si>
  <si>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</si>
  <si>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</si>
  <si>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</si>
  <si>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</si>
  <si>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</si>
  <si>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</si>
  <si>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</si>
  <si>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</si>
  <si>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</si>
  <si>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</si>
  <si>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</si>
  <si>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</si>
  <si>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</si>
  <si>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</si>
  <si>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</si>
  <si>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</si>
  <si>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</si>
  <si>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</si>
  <si>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</si>
  <si>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</si>
  <si>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</si>
  <si>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</si>
  <si>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</si>
  <si>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</si>
  <si>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</si>
  <si>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</si>
  <si>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</si>
  <si>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</si>
  <si>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</si>
  <si>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</si>
  <si>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</si>
  <si>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</si>
  <si>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</si>
  <si>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</si>
  <si>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</si>
  <si>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</si>
  <si>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</si>
  <si>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</si>
  <si>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</si>
  <si>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</si>
  <si>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</si>
  <si>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</si>
  <si>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</si>
  <si>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</si>
  <si>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</si>
  <si>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</si>
  <si>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</si>
  <si>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</si>
  <si>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</si>
  <si>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</si>
  <si>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</si>
  <si>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</si>
  <si>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</si>
  <si>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</si>
  <si>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</si>
  <si>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</si>
  <si>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</si>
  <si>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</si>
  <si>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</si>
  <si>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</si>
  <si>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</si>
  <si>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</si>
  <si>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</si>
  <si>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</si>
  <si>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</si>
  <si>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</si>
  <si>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</si>
  <si>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</si>
  <si>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</si>
  <si>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</si>
  <si>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</si>
  <si>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</si>
  <si>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</si>
  <si>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</si>
  <si>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</si>
  <si>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</si>
  <si>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</si>
  <si>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</si>
  <si>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</si>
  <si>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</si>
  <si>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</si>
  <si>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</si>
  <si>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</si>
  <si>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</si>
  <si>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</si>
  <si>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</si>
  <si>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</si>
  <si>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</si>
  <si>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</si>
  <si>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</si>
  <si>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</si>
  <si>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</si>
  <si>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</si>
  <si>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</si>
  <si>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</si>
  <si>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</si>
  <si>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</si>
  <si>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</si>
  <si>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</si>
  <si>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</si>
  <si>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</si>
  <si>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</si>
  <si>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</si>
  <si>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</si>
  <si>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</si>
  <si>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</si>
  <si>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</si>
  <si>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</si>
  <si>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</si>
  <si>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</si>
  <si>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</si>
  <si>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</si>
  <si>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</si>
  <si>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</si>
  <si>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</si>
  <si>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</si>
  <si>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</si>
  <si>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</si>
  <si>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</si>
  <si>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</si>
  <si>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</si>
  <si>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</si>
  <si>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</si>
  <si>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</si>
  <si>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</si>
  <si>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</si>
  <si>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</si>
  <si>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</si>
  <si>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</si>
  <si>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</si>
  <si>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</si>
  <si>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</si>
  <si>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</si>
  <si>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</si>
  <si>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</si>
  <si>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</si>
  <si>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</si>
  <si>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</si>
  <si>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</si>
  <si>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</si>
  <si>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</si>
  <si>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</si>
  <si>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</si>
  <si>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</si>
  <si>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</si>
  <si>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</si>
  <si>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</si>
  <si>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</si>
  <si>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</si>
  <si>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</si>
  <si>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</si>
  <si>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</si>
  <si>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</si>
  <si>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</si>
  <si>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</si>
  <si>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</si>
  <si>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</si>
  <si>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</si>
  <si>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</si>
  <si>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</si>
  <si>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</si>
  <si>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</si>
  <si>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</si>
  <si>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</si>
  <si>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</si>
  <si>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</si>
  <si>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</si>
  <si>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</si>
  <si>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</si>
  <si>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</si>
  <si>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</si>
  <si>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</si>
  <si>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</si>
  <si>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</si>
  <si>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</si>
  <si>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</si>
  <si>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</si>
  <si>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</si>
  <si>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</si>
  <si>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</si>
  <si>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</si>
  <si>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</si>
  <si>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</si>
  <si>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</si>
  <si>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</si>
  <si>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</si>
  <si>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</si>
  <si>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</si>
  <si>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</si>
  <si>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</si>
  <si>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</si>
  <si>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</si>
  <si>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</si>
  <si>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</si>
  <si>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</si>
  <si>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</si>
  <si>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</si>
  <si>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</si>
  <si>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</si>
  <si>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</si>
  <si>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</si>
  <si>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</si>
  <si>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</si>
  <si>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</si>
  <si>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</si>
  <si>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</si>
  <si>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</si>
  <si>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</si>
  <si>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</si>
  <si>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</si>
  <si>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</si>
  <si>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</si>
  <si>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</si>
  <si>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</si>
  <si>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</si>
  <si>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</si>
  <si>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</si>
  <si>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</si>
  <si>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</si>
  <si>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</si>
  <si>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</si>
  <si>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</si>
  <si>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</si>
  <si>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</si>
  <si>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</si>
  <si>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</si>
  <si>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</si>
  <si>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</si>
  <si>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</si>
  <si>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</si>
  <si>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</si>
  <si>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</si>
  <si>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</si>
  <si>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</si>
  <si>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</si>
  <si>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</si>
  <si>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</si>
  <si>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</si>
  <si>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</si>
  <si>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</si>
  <si>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</si>
  <si>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</si>
  <si>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</si>
  <si>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</si>
  <si>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</si>
  <si>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</si>
  <si>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</si>
  <si>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</si>
  <si>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</si>
  <si>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</si>
  <si>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</si>
  <si>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</si>
  <si>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</si>
  <si>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</si>
  <si>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</si>
  <si>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</si>
  <si>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</si>
  <si>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</si>
  <si>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</si>
  <si>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</si>
  <si>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</si>
  <si>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</si>
  <si>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</si>
  <si>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</si>
  <si>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</si>
  <si>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</si>
  <si>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</si>
  <si>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</si>
  <si>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</si>
  <si>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</si>
  <si>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</si>
  <si>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</si>
  <si>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</si>
  <si>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</si>
  <si>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</si>
  <si>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</si>
  <si>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</si>
  <si>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</si>
  <si>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</si>
  <si>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</si>
  <si>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</si>
  <si>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</si>
  <si>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</si>
  <si>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</si>
  <si>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</si>
  <si>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</si>
  <si>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</si>
  <si>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</si>
  <si>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</si>
  <si>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</si>
  <si>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</si>
  <si>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</si>
  <si>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</si>
  <si>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</si>
  <si>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</si>
  <si>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</si>
  <si>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</si>
  <si>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</si>
  <si>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</si>
  <si>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</si>
  <si>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</si>
  <si>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</si>
  <si>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</si>
  <si>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</si>
  <si>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</si>
  <si>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</si>
  <si>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</si>
  <si>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</si>
  <si>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</si>
  <si>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</si>
  <si>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</si>
  <si>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</si>
  <si>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</si>
  <si>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</si>
  <si>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</si>
  <si>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</si>
  <si>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</si>
  <si>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</si>
  <si>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</si>
  <si>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</si>
  <si>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</si>
  <si>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</si>
  <si>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</si>
  <si>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</si>
  <si>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</si>
  <si>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</si>
  <si>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</si>
  <si>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</si>
  <si>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</si>
  <si>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</si>
  <si>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</si>
  <si>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</si>
  <si>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</si>
  <si>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</si>
  <si>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</si>
  <si>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</si>
  <si>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</si>
  <si>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</si>
  <si>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</si>
  <si>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</si>
  <si>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</si>
  <si>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</si>
  <si>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</si>
  <si>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</si>
  <si>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</si>
  <si>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</si>
  <si>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</si>
  <si>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</si>
  <si>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</si>
  <si>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</si>
  <si>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</si>
  <si>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</si>
  <si>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</si>
  <si>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</si>
  <si>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</si>
  <si>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</si>
  <si>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</si>
  <si>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</si>
  <si>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</si>
  <si>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</si>
  <si>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</si>
  <si>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</si>
  <si>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</si>
  <si>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</si>
  <si>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</si>
  <si>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</si>
  <si>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</si>
  <si>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</si>
  <si>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</si>
  <si>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</si>
  <si>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</si>
  <si>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</si>
  <si>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</si>
  <si>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</si>
  <si>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</si>
  <si>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</si>
  <si>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</si>
  <si>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</si>
  <si>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</si>
  <si>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</si>
  <si>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</si>
  <si>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</si>
  <si>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</si>
  <si>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</si>
  <si>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</si>
  <si>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</si>
  <si>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</si>
  <si>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</si>
  <si>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</si>
  <si>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</si>
  <si>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</si>
  <si>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</si>
  <si>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</si>
  <si>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</si>
  <si>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</si>
  <si>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</si>
  <si>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</si>
  <si>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</si>
  <si>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</si>
  <si>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</si>
  <si>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</si>
  <si>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</si>
  <si>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</si>
  <si>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</si>
  <si>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</si>
  <si>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</si>
  <si>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</si>
  <si>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</si>
  <si>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</si>
  <si>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</si>
  <si>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</si>
  <si>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</si>
  <si>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</si>
  <si>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</si>
  <si>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</si>
  <si>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</si>
  <si>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</si>
  <si>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</si>
  <si>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</si>
  <si>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</si>
  <si>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</si>
  <si>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</si>
  <si>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</si>
  <si>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</si>
  <si>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</si>
  <si>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</si>
  <si>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</si>
  <si>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</si>
  <si>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</si>
  <si>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</si>
  <si>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</si>
  <si>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</si>
  <si>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</si>
  <si>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</si>
  <si>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</si>
  <si>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</si>
  <si>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</si>
  <si>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</si>
  <si>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</si>
  <si>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</si>
  <si>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</si>
  <si>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</si>
  <si>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</si>
  <si>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</si>
  <si>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</si>
  <si>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</si>
  <si>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</si>
  <si>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</si>
  <si>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</si>
  <si>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</si>
  <si>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</si>
  <si>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</si>
  <si>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</si>
  <si>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</si>
  <si>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</si>
  <si>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</si>
  <si>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</si>
  <si>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</si>
  <si>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</si>
  <si>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</si>
  <si>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</si>
  <si>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</si>
  <si>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</si>
  <si>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</si>
  <si>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</si>
  <si>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</si>
  <si>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</si>
  <si>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</si>
  <si>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</si>
  <si>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</si>
  <si>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</si>
  <si>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</si>
  <si>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</si>
  <si>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</si>
  <si>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</si>
  <si>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</si>
  <si>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</si>
  <si>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</si>
  <si>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</si>
  <si>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</si>
  <si>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</si>
  <si>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</si>
  <si>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</si>
  <si>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</si>
  <si>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</si>
  <si>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</si>
  <si>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</si>
  <si>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</si>
  <si>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</si>
  <si>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</si>
  <si>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</si>
  <si>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</si>
  <si>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</si>
  <si>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</si>
  <si>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</si>
  <si>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</si>
  <si>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</si>
  <si>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</si>
  <si>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</si>
  <si>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</si>
  <si>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</si>
  <si>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</si>
  <si>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</si>
  <si>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</si>
  <si>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</si>
  <si>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</si>
  <si>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</si>
  <si>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</si>
  <si>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</si>
  <si>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</si>
  <si>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</si>
  <si>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</si>
  <si>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</si>
  <si>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</si>
  <si>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</si>
  <si>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</si>
  <si>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</si>
  <si>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</si>
  <si>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</si>
  <si>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</si>
  <si>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</si>
  <si>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</si>
  <si>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</si>
  <si>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</si>
  <si>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</si>
  <si>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</si>
  <si>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</si>
  <si>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</si>
  <si>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</si>
  <si>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</si>
  <si>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</si>
  <si>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</si>
  <si>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</si>
  <si>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</si>
  <si>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</si>
  <si>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</si>
  <si>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</si>
  <si>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</si>
  <si>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</si>
  <si>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</si>
  <si>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</si>
  <si>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</si>
  <si>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</si>
  <si>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</si>
  <si>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</si>
  <si>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</si>
  <si>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</si>
  <si>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</si>
  <si>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</si>
  <si>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</si>
  <si>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</si>
  <si>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</si>
  <si>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</si>
  <si>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</si>
  <si>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</si>
  <si>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</si>
  <si>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</si>
  <si>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</si>
  <si>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</si>
  <si>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</si>
  <si>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</si>
  <si>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</si>
  <si>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</si>
  <si>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</si>
  <si>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</si>
  <si>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</si>
  <si>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</si>
  <si>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</si>
  <si>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</si>
  <si>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</si>
  <si>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</si>
  <si>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</si>
  <si>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</si>
  <si>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</si>
  <si>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</si>
  <si>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</si>
  <si>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</si>
  <si>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</si>
  <si>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</si>
  <si>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</si>
  <si>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</si>
  <si>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</si>
  <si>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</si>
  <si>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</si>
  <si>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</si>
  <si>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</si>
  <si>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</si>
  <si>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</si>
  <si>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</si>
  <si>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</si>
  <si>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</si>
  <si>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</si>
  <si>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</si>
  <si>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</si>
  <si>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</si>
  <si>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</si>
  <si>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</si>
  <si>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</si>
  <si>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</si>
  <si>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</si>
  <si>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</si>
  <si>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</si>
  <si>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</si>
  <si>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</si>
  <si>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</si>
  <si>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</si>
  <si>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</si>
  <si>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</si>
  <si>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</si>
  <si>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</si>
  <si>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</si>
  <si>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</si>
  <si>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</si>
  <si>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</si>
  <si>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</si>
  <si>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</si>
  <si>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</si>
  <si>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</si>
  <si>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</si>
  <si>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</si>
  <si>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</si>
  <si>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</si>
  <si>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</si>
  <si>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</si>
  <si>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</si>
  <si>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</si>
  <si>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</si>
  <si>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</si>
  <si>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</si>
  <si>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</si>
  <si>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</si>
  <si>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</si>
  <si>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</si>
  <si>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</si>
  <si>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</si>
  <si>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</si>
  <si>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</si>
  <si>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</si>
  <si>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</si>
  <si>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</si>
  <si>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</si>
  <si>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</si>
  <si>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</si>
  <si>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</si>
  <si>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</si>
  <si>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</si>
  <si>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</si>
  <si>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</si>
  <si>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</si>
  <si>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</si>
  <si>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</si>
  <si>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</si>
  <si>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</si>
  <si>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</si>
  <si>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</si>
  <si>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</si>
  <si>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</si>
  <si>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</si>
  <si>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</si>
  <si>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</si>
  <si>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</si>
  <si>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</si>
  <si>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</si>
  <si>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</si>
  <si>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</si>
  <si>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</si>
  <si>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</si>
  <si>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</si>
  <si>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</si>
  <si>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</si>
  <si>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</si>
  <si>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</si>
  <si>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</si>
  <si>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</si>
  <si>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</si>
  <si>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</si>
  <si>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</si>
  <si>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</si>
  <si>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</si>
  <si>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</si>
  <si>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</si>
  <si>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</si>
  <si>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</si>
  <si>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</si>
  <si>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</si>
  <si>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</si>
  <si>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</si>
  <si>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</si>
  <si>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</si>
  <si>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</si>
  <si>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</si>
  <si>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</si>
  <si>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</si>
  <si>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</si>
  <si>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</si>
  <si>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</si>
  <si>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</si>
  <si>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</si>
  <si>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</si>
  <si>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</si>
  <si>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</si>
  <si>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</si>
  <si>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</si>
  <si>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</si>
  <si>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</si>
  <si>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</si>
  <si>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</si>
  <si>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</si>
  <si>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</si>
  <si>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</si>
  <si>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</si>
  <si>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</si>
  <si>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</si>
  <si>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</si>
  <si>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</si>
  <si>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</si>
  <si>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</si>
  <si>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</si>
  <si>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</si>
  <si>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</si>
  <si>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</si>
  <si>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</si>
  <si>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</si>
  <si>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</si>
  <si>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</si>
  <si>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</si>
  <si>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</si>
  <si>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</si>
  <si>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</si>
  <si>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</si>
  <si>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</si>
  <si>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</si>
  <si>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</si>
  <si>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</si>
  <si>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</si>
  <si>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</si>
  <si>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</si>
  <si>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</si>
  <si>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</si>
  <si>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</si>
  <si>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</si>
  <si>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</si>
  <si>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</si>
  <si>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</si>
  <si>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</si>
  <si>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</si>
  <si>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</si>
  <si>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</si>
  <si>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</si>
  <si>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</si>
  <si>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</si>
  <si>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</si>
  <si>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</si>
  <si>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</si>
  <si>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</si>
  <si>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</si>
  <si>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</si>
  <si>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</si>
  <si>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</si>
  <si>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</si>
  <si>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</si>
  <si>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</si>
  <si>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</si>
  <si>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</si>
  <si>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</si>
  <si>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</si>
  <si>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</si>
  <si>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</si>
  <si>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</si>
  <si>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</si>
  <si>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</si>
  <si>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</si>
  <si>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</si>
  <si>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</si>
  <si>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</si>
  <si>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</si>
  <si>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</si>
  <si>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</si>
  <si>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</si>
  <si>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</si>
  <si>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</si>
  <si>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</si>
  <si>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</si>
  <si>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</si>
  <si>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</si>
  <si>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</si>
  <si>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</si>
  <si>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</si>
  <si>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</si>
  <si>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</si>
  <si>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</si>
  <si>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</si>
  <si>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</si>
  <si>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</si>
  <si>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</si>
  <si>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</si>
  <si>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</si>
  <si>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</si>
  <si>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</si>
  <si>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</si>
  <si>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</si>
  <si>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</si>
  <si>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</si>
  <si>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</si>
  <si>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</si>
  <si>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</si>
  <si>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</si>
  <si>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</si>
  <si>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</si>
  <si>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</si>
  <si>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</si>
  <si>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</si>
  <si>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</si>
  <si>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</si>
  <si>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</si>
  <si>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</si>
  <si>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</si>
  <si>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</si>
  <si>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</si>
  <si>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</si>
  <si>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</si>
  <si>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</si>
  <si>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</si>
  <si>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</si>
  <si>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</si>
  <si>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</si>
  <si>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</si>
  <si>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</si>
  <si>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</si>
  <si>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</si>
  <si>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</si>
  <si>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</si>
  <si>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</si>
  <si>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</si>
  <si>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</si>
  <si>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</si>
  <si>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</si>
  <si>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</si>
  <si>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</si>
  <si>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</si>
  <si>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</si>
  <si>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</si>
  <si>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</si>
  <si>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</si>
  <si>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</si>
  <si>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</si>
  <si>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</si>
  <si>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</si>
  <si>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</si>
  <si>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</si>
  <si>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</si>
  <si>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</si>
  <si>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</si>
  <si>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</si>
  <si>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</si>
  <si>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</si>
  <si>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</si>
  <si>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</si>
  <si>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</si>
  <si>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</si>
  <si>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</si>
  <si>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</si>
  <si>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</si>
  <si>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</si>
  <si>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</si>
  <si>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</si>
  <si>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</si>
  <si>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</si>
  <si>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</si>
  <si>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</si>
  <si>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</si>
  <si>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</si>
  <si>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</si>
  <si>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</si>
  <si>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</si>
  <si>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</si>
  <si>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</si>
  <si>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</si>
  <si>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</si>
  <si>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</si>
  <si>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</si>
  <si>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</si>
  <si>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</si>
  <si>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</si>
  <si>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</si>
  <si>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</si>
  <si>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</si>
  <si>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</si>
  <si>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</si>
  <si>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</si>
  <si>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</si>
  <si>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</si>
  <si>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</si>
  <si>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</si>
  <si>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</si>
  <si>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</si>
  <si>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</si>
  <si>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</si>
  <si>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</si>
  <si>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</si>
  <si>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</si>
  <si>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</si>
  <si>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</si>
  <si>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</si>
  <si>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</si>
  <si>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</si>
  <si>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</si>
  <si>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</si>
  <si>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</si>
  <si>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</si>
  <si>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</si>
  <si>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</si>
  <si>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</si>
  <si>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</si>
  <si>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</si>
  <si>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</si>
  <si>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</si>
  <si>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</si>
  <si>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</si>
  <si>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</si>
  <si>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</si>
  <si>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</si>
  <si>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</si>
  <si>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</si>
  <si>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</si>
  <si>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</si>
  <si>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</si>
  <si>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</si>
  <si>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</si>
  <si>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</si>
  <si>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</si>
  <si>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</si>
  <si>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</si>
  <si>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</si>
  <si>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</si>
  <si>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</si>
  <si>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</si>
  <si>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</si>
  <si>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</si>
  <si>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</si>
  <si>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</si>
  <si>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</si>
  <si>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</si>
  <si>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</si>
  <si>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</si>
  <si>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</si>
  <si>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</si>
  <si>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</si>
  <si>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</si>
  <si>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</si>
  <si>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</si>
  <si>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</si>
  <si>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</si>
  <si>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</si>
  <si>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</si>
  <si>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</si>
  <si>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</si>
  <si>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</si>
  <si>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</si>
  <si>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</si>
  <si>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</si>
  <si>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</si>
  <si>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</si>
  <si>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</si>
  <si>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</si>
  <si>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</si>
  <si>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</si>
  <si>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</si>
  <si>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</si>
  <si>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</si>
  <si>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</si>
  <si>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</si>
  <si>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</si>
  <si>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</si>
  <si>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</si>
  <si>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</si>
  <si>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</si>
  <si>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</si>
  <si>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</si>
  <si>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</si>
  <si>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</si>
  <si>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</si>
  <si>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</si>
  <si>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</si>
  <si>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</si>
  <si>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</si>
  <si>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</si>
  <si>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</si>
  <si>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</si>
  <si>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</si>
  <si>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</si>
  <si>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</si>
  <si>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</si>
  <si>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</si>
  <si>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</si>
  <si>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</si>
  <si>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</si>
  <si>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</si>
  <si>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</si>
  <si>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</si>
  <si>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</si>
  <si>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</si>
  <si>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</si>
  <si>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</si>
  <si>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</si>
  <si>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</si>
  <si>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</si>
  <si>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</si>
  <si>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</si>
  <si>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</si>
  <si>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</si>
  <si>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</si>
  <si>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</si>
  <si>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</si>
  <si>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</si>
  <si>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</si>
  <si>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</si>
  <si>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</si>
  <si>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</si>
  <si>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</si>
  <si>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</si>
  <si>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</si>
  <si>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</si>
  <si>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</si>
  <si>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</si>
  <si>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</si>
  <si>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</si>
  <si>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</si>
  <si>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</si>
  <si>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</si>
  <si>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</si>
  <si>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</si>
  <si>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</si>
  <si>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</si>
  <si>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</si>
  <si>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</si>
  <si>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</si>
  <si>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</si>
  <si>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</si>
  <si>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</si>
  <si>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</si>
  <si>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</si>
  <si>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</si>
  <si>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</si>
  <si>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</si>
  <si>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</si>
  <si>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</si>
  <si>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</si>
  <si>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</si>
  <si>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</si>
  <si>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</si>
  <si>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</si>
  <si>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</si>
  <si>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</si>
  <si>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</si>
  <si>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</si>
  <si>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</si>
  <si>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</si>
  <si>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</si>
  <si>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</si>
  <si>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</si>
  <si>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</si>
  <si>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</si>
  <si>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</si>
  <si>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</si>
  <si>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</si>
  <si>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</si>
  <si>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</si>
  <si>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</si>
  <si>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</si>
  <si>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</si>
  <si>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</si>
  <si>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</si>
  <si>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</si>
  <si>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</si>
  <si>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</si>
  <si>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</si>
  <si>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</si>
  <si>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</si>
  <si>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</si>
  <si>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</si>
  <si>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</si>
  <si>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</si>
  <si>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</si>
  <si>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</si>
  <si>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</si>
  <si>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</si>
  <si>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</si>
  <si>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</si>
  <si>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</si>
  <si>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</si>
  <si>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</si>
  <si>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</si>
  <si>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</si>
  <si>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</si>
  <si>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</si>
  <si>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</si>
  <si>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</si>
  <si>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</si>
  <si>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</si>
  <si>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</si>
  <si>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</si>
  <si>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</si>
  <si>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</si>
  <si>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</si>
  <si>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</si>
  <si>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</si>
  <si>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</si>
  <si>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</si>
  <si>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</si>
  <si>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</si>
  <si>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</si>
  <si>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</si>
  <si>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</si>
  <si>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</si>
  <si>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</si>
  <si>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</si>
  <si>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</si>
  <si>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</si>
  <si>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</si>
  <si>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</si>
  <si>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</si>
  <si>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</si>
  <si>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</si>
  <si>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</si>
  <si>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</si>
  <si>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</si>
  <si>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</si>
  <si>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</si>
  <si>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</si>
  <si>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</si>
  <si>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</si>
  <si>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</si>
  <si>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</si>
  <si>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</si>
  <si>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</si>
  <si>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</si>
  <si>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</si>
  <si>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</si>
  <si>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</si>
  <si>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</si>
  <si>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</si>
  <si>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</si>
  <si>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</si>
  <si>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</si>
  <si>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</si>
  <si>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</si>
  <si>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</si>
  <si>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</si>
  <si>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</si>
  <si>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</si>
  <si>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</si>
  <si>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</si>
  <si>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</si>
  <si>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</si>
  <si>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</si>
  <si>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</si>
  <si>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</si>
  <si>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</si>
  <si>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</si>
  <si>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</si>
  <si>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</si>
  <si>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</si>
  <si>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</si>
  <si>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</si>
  <si>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</si>
  <si>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</si>
  <si>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</si>
  <si>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</si>
  <si>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</si>
  <si>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</si>
  <si>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</si>
  <si>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</si>
  <si>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</si>
  <si>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</si>
  <si>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</si>
  <si>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</si>
  <si>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</si>
  <si>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</si>
  <si>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</si>
  <si>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</si>
  <si>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</si>
  <si>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</si>
  <si>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</si>
  <si>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</si>
  <si>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</si>
  <si>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</si>
  <si>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</si>
  <si>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</si>
  <si>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</si>
  <si>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</si>
  <si>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</si>
  <si>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</si>
  <si>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</si>
  <si>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</si>
  <si>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</si>
  <si>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</si>
  <si>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</si>
  <si>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</si>
  <si>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</si>
  <si>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</si>
  <si>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</si>
  <si>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</si>
  <si>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</si>
  <si>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</si>
  <si>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</si>
  <si>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</si>
  <si>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</si>
  <si>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</si>
  <si>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</si>
  <si>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</si>
  <si>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</si>
  <si>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</si>
  <si>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</si>
  <si>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</si>
  <si>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</si>
  <si>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</si>
  <si>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</si>
  <si>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</si>
  <si>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</si>
  <si>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</si>
  <si>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</si>
  <si>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</si>
  <si>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</si>
  <si>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</si>
  <si>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</si>
  <si>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</si>
  <si>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</si>
  <si>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</si>
  <si>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</si>
  <si>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</si>
  <si>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</si>
  <si>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</si>
  <si>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</si>
  <si>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</si>
  <si>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</si>
  <si>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</si>
  <si>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</si>
  <si>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</si>
  <si>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</si>
  <si>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</si>
  <si>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</si>
  <si>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</si>
  <si>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</si>
  <si>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</si>
  <si>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</si>
  <si>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</si>
  <si>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</si>
  <si>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</si>
  <si>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</si>
  <si>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</si>
  <si>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</si>
  <si>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</si>
  <si>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</si>
  <si>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</si>
  <si>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</si>
  <si>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</si>
  <si>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</si>
  <si>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</si>
  <si>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</si>
  <si>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</si>
  <si>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</si>
  <si>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</si>
  <si>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</si>
  <si>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</si>
  <si>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</si>
  <si>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</si>
  <si>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</si>
  <si>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</si>
  <si>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</si>
  <si>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</si>
  <si>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</si>
  <si>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</si>
  <si>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</si>
  <si>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</si>
  <si>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</si>
  <si>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</si>
  <si>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</si>
  <si>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</si>
  <si>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</si>
  <si>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</si>
  <si>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</si>
  <si>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</si>
  <si>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</si>
  <si>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</si>
  <si>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</si>
  <si>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</si>
  <si>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</si>
  <si>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</si>
  <si>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</si>
  <si>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</si>
  <si>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</si>
  <si>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</si>
  <si>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</si>
  <si>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</si>
  <si>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</si>
  <si>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</si>
  <si>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</si>
  <si>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</si>
  <si>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</si>
  <si>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</si>
  <si>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</si>
  <si>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</si>
  <si>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</si>
  <si>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</si>
  <si>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</si>
  <si>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</si>
  <si>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</si>
  <si>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</si>
  <si>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</si>
  <si>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</si>
  <si>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</si>
  <si>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</si>
  <si>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</si>
  <si>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</si>
  <si>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07/07/2023</t>
  </si>
  <si>
    <t>Du Lịch</t>
  </si>
  <si>
    <t>Giới tính Nữ</t>
  </si>
  <si>
    <t>Giới tính Nam</t>
  </si>
  <si>
    <t>28/08/1992</t>
  </si>
  <si>
    <t>Trương Thảo Lan</t>
  </si>
  <si>
    <t>07/03/1979</t>
  </si>
  <si>
    <t>019179597445</t>
  </si>
  <si>
    <t>Tân Khánh</t>
  </si>
  <si>
    <t>09/07/2023</t>
  </si>
  <si>
    <t>Đỗ Thu My</t>
  </si>
  <si>
    <t>08/05/1983</t>
  </si>
  <si>
    <t>019183378291</t>
  </si>
  <si>
    <t>Đỗ Thị Ngọc</t>
  </si>
  <si>
    <t>03/02/1995</t>
  </si>
  <si>
    <t>019195100871</t>
  </si>
  <si>
    <t>Đỗ Huy Hưng</t>
  </si>
  <si>
    <t>11/10/1985</t>
  </si>
  <si>
    <t>019085524773</t>
  </si>
  <si>
    <t>Ngô Kiên Cường</t>
  </si>
  <si>
    <t>28/12/1982</t>
  </si>
  <si>
    <t>019082681269</t>
  </si>
  <si>
    <t>Phạm Thị Nhi</t>
  </si>
  <si>
    <t>17/02/1992</t>
  </si>
  <si>
    <t>019192087186</t>
  </si>
  <si>
    <t>Phan Huy Dương</t>
  </si>
  <si>
    <t>10/06/1985</t>
  </si>
  <si>
    <t>019085226693</t>
  </si>
  <si>
    <t>Ngô Thảo Bích</t>
  </si>
  <si>
    <t>24/09/1981</t>
  </si>
  <si>
    <t>019181731053</t>
  </si>
  <si>
    <t>Trịnh Nhật Quân</t>
  </si>
  <si>
    <t>04/12/1993</t>
  </si>
  <si>
    <t>019093300653</t>
  </si>
  <si>
    <t>Đào Hạnh Diễm</t>
  </si>
  <si>
    <t>26/08/1995</t>
  </si>
  <si>
    <t>019195668863</t>
  </si>
  <si>
    <t>Dương Gia Phúc</t>
  </si>
  <si>
    <t>27/04/1987</t>
  </si>
  <si>
    <t>019087414726</t>
  </si>
  <si>
    <t>Nguyễn Thành Long</t>
  </si>
  <si>
    <t>24/11/1995</t>
  </si>
  <si>
    <t>019095229756</t>
  </si>
  <si>
    <t>Hoàng Linh Hạnh</t>
  </si>
  <si>
    <t>08/07/1991</t>
  </si>
  <si>
    <t>019191649216</t>
  </si>
  <si>
    <t>Thái Tuấn Phúc</t>
  </si>
  <si>
    <t>01/05/1982</t>
  </si>
  <si>
    <t>019082779095</t>
  </si>
  <si>
    <t>Trịnh Khánh Long</t>
  </si>
  <si>
    <t>06/04/1994</t>
  </si>
  <si>
    <t>019094570364</t>
  </si>
  <si>
    <t>Đặng Phương Bích</t>
  </si>
  <si>
    <t>18/02/1983</t>
  </si>
  <si>
    <t>019183958283</t>
  </si>
  <si>
    <t>Trần Kiên Hưng</t>
  </si>
  <si>
    <t>18/06/1994</t>
  </si>
  <si>
    <t>019094911855</t>
  </si>
  <si>
    <t>Đinh Thu Hà</t>
  </si>
  <si>
    <t>22/10/1986</t>
  </si>
  <si>
    <t>019186801138</t>
  </si>
  <si>
    <t>Đỗ Thị Nhi</t>
  </si>
  <si>
    <t>16/04/1982</t>
  </si>
  <si>
    <t>019182162965</t>
  </si>
  <si>
    <t>Vũ Thu Yến</t>
  </si>
  <si>
    <t>27/06/1992</t>
  </si>
  <si>
    <t>019192863831</t>
  </si>
  <si>
    <t>Thái Thảo Hà</t>
  </si>
  <si>
    <t>22/11/1991</t>
  </si>
  <si>
    <t>019191847183</t>
  </si>
  <si>
    <t>Đặng Đức Linh</t>
  </si>
  <si>
    <t>25/03/1985</t>
  </si>
  <si>
    <t>019085109248</t>
  </si>
  <si>
    <t>Phạm Đức Tuấn</t>
  </si>
  <si>
    <t>14/06/1984</t>
  </si>
  <si>
    <t>019084597466</t>
  </si>
  <si>
    <t>Hoàng Thảo Quỳnh</t>
  </si>
  <si>
    <t>23/04/1987</t>
  </si>
  <si>
    <t>019187867459</t>
  </si>
  <si>
    <t>Đỗ Hữu Linh</t>
  </si>
  <si>
    <t>25/01/1991</t>
  </si>
  <si>
    <t>019091865229</t>
  </si>
  <si>
    <t>Trương Thành Sơn</t>
  </si>
  <si>
    <t>23/07/1979</t>
  </si>
  <si>
    <t>019079223728</t>
  </si>
  <si>
    <t>Lê Phúc Sơn</t>
  </si>
  <si>
    <t>13/06/1979</t>
  </si>
  <si>
    <t>019079510430</t>
  </si>
  <si>
    <t>Hà Phước Khoa</t>
  </si>
  <si>
    <t>10/09/1991</t>
  </si>
  <si>
    <t>019091623925</t>
  </si>
  <si>
    <t>Vũ Huy Hiếu</t>
  </si>
  <si>
    <t>14/11/1985</t>
  </si>
  <si>
    <t>019085326056</t>
  </si>
  <si>
    <t>Trương Hạnh Phương</t>
  </si>
  <si>
    <t>22/11/1981</t>
  </si>
  <si>
    <t>019181907542</t>
  </si>
  <si>
    <t>Trịnh Hạnh Anh</t>
  </si>
  <si>
    <t>06/04/1979</t>
  </si>
  <si>
    <t>019179671924</t>
  </si>
  <si>
    <t>Lê Thu Hạnh</t>
  </si>
  <si>
    <t>10/12/1984</t>
  </si>
  <si>
    <t>019184612627</t>
  </si>
  <si>
    <t>Phạm Công Cường</t>
  </si>
  <si>
    <t>26/01/1994</t>
  </si>
  <si>
    <t>019094510075</t>
  </si>
  <si>
    <t>Võ Đức Kiên</t>
  </si>
  <si>
    <t>26/08/1985</t>
  </si>
  <si>
    <t>019085995284</t>
  </si>
  <si>
    <t>Trịnh Đình Tuấn</t>
  </si>
  <si>
    <t>10/09/1988</t>
  </si>
  <si>
    <t>019088987340</t>
  </si>
  <si>
    <t>Lý Tuấn Dương</t>
  </si>
  <si>
    <t>08/08/1983</t>
  </si>
  <si>
    <t>019083736148</t>
  </si>
  <si>
    <t>Mai Thị Nhi</t>
  </si>
  <si>
    <t>08/08/1994</t>
  </si>
  <si>
    <t>019194223460</t>
  </si>
  <si>
    <t>Bùi Đức Linh</t>
  </si>
  <si>
    <t>24/05/1987</t>
  </si>
  <si>
    <t>019087988608</t>
  </si>
  <si>
    <t>Hà Linh Phương</t>
  </si>
  <si>
    <t>08/05/1986</t>
  </si>
  <si>
    <t>019186192845</t>
  </si>
  <si>
    <t>Nguyễn Thành Sơn</t>
  </si>
  <si>
    <t>28/05/1982</t>
  </si>
  <si>
    <t>019082832230</t>
  </si>
  <si>
    <t>Trần Ngọc Yến</t>
  </si>
  <si>
    <t>15/01/1985</t>
  </si>
  <si>
    <t>019185294295</t>
  </si>
  <si>
    <t>Dương Hải Bình</t>
  </si>
  <si>
    <t>02/07/1989</t>
  </si>
  <si>
    <t>019089406047</t>
  </si>
  <si>
    <t>Bùi Hữu Bình</t>
  </si>
  <si>
    <t>21/04/1993</t>
  </si>
  <si>
    <t>019093858848</t>
  </si>
  <si>
    <t>Hà Hạnh Xuân</t>
  </si>
  <si>
    <t>13/06/1986</t>
  </si>
  <si>
    <t>019186002770</t>
  </si>
  <si>
    <t>Vương Đình Tuấn</t>
  </si>
  <si>
    <t>17/12/1995</t>
  </si>
  <si>
    <t>019095311664</t>
  </si>
  <si>
    <t>Trịnh Thị Mai</t>
  </si>
  <si>
    <t>18/04/1985</t>
  </si>
  <si>
    <t>019185733984</t>
  </si>
  <si>
    <t>Hồ Thảo Ngọc</t>
  </si>
  <si>
    <t>09/10/1995</t>
  </si>
  <si>
    <t>019195173009</t>
  </si>
  <si>
    <t>Đào Phúc Sơn</t>
  </si>
  <si>
    <t>21/12/1990</t>
  </si>
  <si>
    <t>019090234248</t>
  </si>
  <si>
    <t>Phạm Nhật An</t>
  </si>
  <si>
    <t>06/04/1993</t>
  </si>
  <si>
    <t>019093491052</t>
  </si>
  <si>
    <t>Trịnh Thu Quỳnh</t>
  </si>
  <si>
    <t>019192109643</t>
  </si>
  <si>
    <t>Trịnh Phước Quân</t>
  </si>
  <si>
    <t>28/08/1995</t>
  </si>
  <si>
    <t>019095801044</t>
  </si>
  <si>
    <t>Đoàn Phước Long</t>
  </si>
  <si>
    <t>23/03/1992</t>
  </si>
  <si>
    <t>019092101196</t>
  </si>
  <si>
    <t>Trương Ngọc Trâm</t>
  </si>
  <si>
    <t>09/03/1986</t>
  </si>
  <si>
    <t>019186288519</t>
  </si>
  <si>
    <t>Mai Thị Yến</t>
  </si>
  <si>
    <t>25/01/1990</t>
  </si>
  <si>
    <t>019190787692</t>
  </si>
  <si>
    <t>Nguyễn Văn Sơn</t>
  </si>
  <si>
    <t>14/02/1995</t>
  </si>
  <si>
    <t>019095731814</t>
  </si>
  <si>
    <t>Đoàn Linh Anh</t>
  </si>
  <si>
    <t>06/12/1982</t>
  </si>
  <si>
    <t>019182430213</t>
  </si>
  <si>
    <t>Đặng Phương Mai</t>
  </si>
  <si>
    <t>16/05/1988</t>
  </si>
  <si>
    <t>019188163978</t>
  </si>
  <si>
    <t>Ngô Hạnh Mai</t>
  </si>
  <si>
    <t>03/12/1982</t>
  </si>
  <si>
    <t>019182365175</t>
  </si>
  <si>
    <t>Lương Công Khánh</t>
  </si>
  <si>
    <t>06/11/1993</t>
  </si>
  <si>
    <t>019093974419</t>
  </si>
  <si>
    <t>Nguyễn Linh Hạnh</t>
  </si>
  <si>
    <t>02/09/1986</t>
  </si>
  <si>
    <t>019186655782</t>
  </si>
  <si>
    <t>Trần Hải Hải</t>
  </si>
  <si>
    <t>18/10/1992</t>
  </si>
  <si>
    <t>019092416260</t>
  </si>
  <si>
    <t>Lê Ngọc Phương</t>
  </si>
  <si>
    <t>16/07/1980</t>
  </si>
  <si>
    <t>019180041417</t>
  </si>
  <si>
    <t>Nguyễn Ngọc Nhi</t>
  </si>
  <si>
    <t>12/01/1985</t>
  </si>
  <si>
    <t>019185331729</t>
  </si>
  <si>
    <t>Vũ Thị Oanh</t>
  </si>
  <si>
    <t>11/05/1994</t>
  </si>
  <si>
    <t>019194205010</t>
  </si>
  <si>
    <t>Mai Long Bình</t>
  </si>
  <si>
    <t>25/06/1986</t>
  </si>
  <si>
    <t>019086017161</t>
  </si>
  <si>
    <t>Phạm Thu Hà</t>
  </si>
  <si>
    <t>01/04/1979</t>
  </si>
  <si>
    <t>019179105277</t>
  </si>
  <si>
    <t>Lương Thu Trang</t>
  </si>
  <si>
    <t>22/07/1990</t>
  </si>
  <si>
    <t>019190119282</t>
  </si>
  <si>
    <t>Trịnh Sơn Hiếu</t>
  </si>
  <si>
    <t>20/06/1982</t>
  </si>
  <si>
    <t>019082053638</t>
  </si>
  <si>
    <t>Hồ Văn Thủy</t>
  </si>
  <si>
    <t>15/10/1993</t>
  </si>
  <si>
    <t>019093735822</t>
  </si>
  <si>
    <t>Bùi Thị Nhi</t>
  </si>
  <si>
    <t>02/10/1982</t>
  </si>
  <si>
    <t>019182225183</t>
  </si>
  <si>
    <t>Trịnh Minh Long</t>
  </si>
  <si>
    <t>22/04/1995</t>
  </si>
  <si>
    <t>019095033619</t>
  </si>
  <si>
    <t>Trương Công Hải</t>
  </si>
  <si>
    <t>20/04/1992</t>
  </si>
  <si>
    <t>019092928205</t>
  </si>
  <si>
    <t>Vũ Linh Trâm</t>
  </si>
  <si>
    <t>17/04/1988</t>
  </si>
  <si>
    <t>019188175344</t>
  </si>
  <si>
    <t>Trương Huy Thủy</t>
  </si>
  <si>
    <t>02/06/1993</t>
  </si>
  <si>
    <t>019093618776</t>
  </si>
  <si>
    <t>Bùi Long Hiếu</t>
  </si>
  <si>
    <t>03/03/1991</t>
  </si>
  <si>
    <t>019091147328</t>
  </si>
  <si>
    <t>Trương Minh Bình</t>
  </si>
  <si>
    <t>02/11/1986</t>
  </si>
  <si>
    <t>019086937325</t>
  </si>
  <si>
    <t>Đặng Thị Ngọc</t>
  </si>
  <si>
    <t>21/02/1991</t>
  </si>
  <si>
    <t>019191376879</t>
  </si>
  <si>
    <t>Ngô Thành Dũng</t>
  </si>
  <si>
    <t>15/12/1979</t>
  </si>
  <si>
    <t>019079013428</t>
  </si>
  <si>
    <t>Vương Phương Trang</t>
  </si>
  <si>
    <t>13/05/1994</t>
  </si>
  <si>
    <t>019194926107</t>
  </si>
  <si>
    <t>Hà Thảo Hạnh</t>
  </si>
  <si>
    <t>27/02/1979</t>
  </si>
  <si>
    <t>019179951471</t>
  </si>
  <si>
    <t>Trịnh Phương Mai</t>
  </si>
  <si>
    <t>07/12/1981</t>
  </si>
  <si>
    <t>019181192770</t>
  </si>
  <si>
    <t>Thái Phước Thủy</t>
  </si>
  <si>
    <t>20/03/1980</t>
  </si>
  <si>
    <t>019080593135</t>
  </si>
  <si>
    <t>Trịnh Thảo My</t>
  </si>
  <si>
    <t>02/07/1988</t>
  </si>
  <si>
    <t>019188206015</t>
  </si>
  <si>
    <t>Vương Công Cường</t>
  </si>
  <si>
    <t>13/04/1990</t>
  </si>
  <si>
    <t>019090278886</t>
  </si>
  <si>
    <t>Trịnh Phúc Bình</t>
  </si>
  <si>
    <t>17/03/1991</t>
  </si>
  <si>
    <t>019091170726</t>
  </si>
  <si>
    <t>Nguyễn Đình Linh</t>
  </si>
  <si>
    <t>04/09/1990</t>
  </si>
  <si>
    <t>019090965262</t>
  </si>
  <si>
    <t>Thái Thảo Mai</t>
  </si>
  <si>
    <t>17/08/1990</t>
  </si>
  <si>
    <t>019190334804</t>
  </si>
  <si>
    <t>Đào Xuân Hùng</t>
  </si>
  <si>
    <t>06/10/1987</t>
  </si>
  <si>
    <t>019807008198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</si>
</sst>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O70" workbookViewId="0">
      <selection activeCell="V87" sqref="V87:V90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7.898437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0" t="s">
        <v>18</v>
      </c>
      <c r="F2" s="20"/>
      <c r="G2" s="20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22310</v>
      </c>
      <c r="C3" s="16" t="s">
        <v>22311</v>
      </c>
      <c r="D3" s="16" t="s">
        <v>38</v>
      </c>
      <c r="E3" s="16" t="s">
        <v>22312</v>
      </c>
      <c r="I3" s="16" t="s">
        <v>369</v>
      </c>
      <c r="J3" s="17" t="s">
        <v>22051</v>
      </c>
      <c r="K3" s="16" t="s">
        <v>743</v>
      </c>
      <c r="L3" s="16" t="s">
        <v>1826</v>
      </c>
      <c r="M3" s="16" t="s">
        <v>1917</v>
      </c>
      <c r="N3" s="16" t="s">
        <v>2002</v>
      </c>
      <c r="O3" s="16" t="s">
        <v>20917</v>
      </c>
      <c r="P3" s="16" t="s">
        <v>12461</v>
      </c>
      <c r="Q3" s="17" t="s">
        <v>22051</v>
      </c>
      <c r="R3" s="16" t="s">
        <v>13</v>
      </c>
      <c r="S3" s="16" t="s">
        <v>22043</v>
      </c>
      <c r="T3" s="16" t="s">
        <v>22052</v>
      </c>
      <c r="U3" s="17" t="s">
        <v>22044</v>
      </c>
      <c r="V3" s="1">
        <v>201</v>
      </c>
    </row>
    <row r="4" spans="1:23" x14ac:dyDescent="0.3">
      <c r="A4" s="15">
        <v>2</v>
      </c>
      <c r="B4" s="16" t="s">
        <v>22048</v>
      </c>
      <c r="C4" s="16" t="s">
        <v>22049</v>
      </c>
      <c r="D4" s="16" t="s">
        <v>22045</v>
      </c>
      <c r="E4" s="16" t="s">
        <v>22050</v>
      </c>
      <c r="I4" s="16" t="s">
        <v>369</v>
      </c>
      <c r="J4" s="17" t="s">
        <v>22051</v>
      </c>
      <c r="K4" s="16" t="s">
        <v>743</v>
      </c>
      <c r="L4" s="16" t="s">
        <v>1826</v>
      </c>
      <c r="M4" s="16" t="s">
        <v>1917</v>
      </c>
      <c r="N4" s="16" t="s">
        <v>2002</v>
      </c>
      <c r="O4" s="16" t="s">
        <v>20917</v>
      </c>
      <c r="P4" s="16" t="s">
        <v>12461</v>
      </c>
      <c r="Q4" s="17" t="s">
        <v>22051</v>
      </c>
      <c r="R4" s="16" t="s">
        <v>13</v>
      </c>
      <c r="S4" s="16" t="s">
        <v>22043</v>
      </c>
      <c r="T4" s="16" t="s">
        <v>22052</v>
      </c>
      <c r="U4" s="17" t="s">
        <v>22044</v>
      </c>
      <c r="V4" s="1">
        <v>201</v>
      </c>
    </row>
    <row r="5" spans="1:23" x14ac:dyDescent="0.3">
      <c r="A5" s="15">
        <v>3</v>
      </c>
      <c r="B5" s="16" t="s">
        <v>22053</v>
      </c>
      <c r="C5" s="16" t="s">
        <v>22054</v>
      </c>
      <c r="D5" s="16" t="s">
        <v>22045</v>
      </c>
      <c r="E5" s="16" t="s">
        <v>22055</v>
      </c>
      <c r="I5" s="16" t="s">
        <v>369</v>
      </c>
      <c r="J5" s="17" t="s">
        <v>22051</v>
      </c>
      <c r="K5" s="16" t="s">
        <v>743</v>
      </c>
      <c r="L5" s="16" t="s">
        <v>1826</v>
      </c>
      <c r="M5" s="16" t="s">
        <v>1917</v>
      </c>
      <c r="N5" s="16" t="s">
        <v>2002</v>
      </c>
      <c r="O5" s="16" t="s">
        <v>20917</v>
      </c>
      <c r="P5" s="16" t="s">
        <v>12461</v>
      </c>
      <c r="Q5" s="17" t="s">
        <v>22051</v>
      </c>
      <c r="R5" s="16" t="s">
        <v>13</v>
      </c>
      <c r="S5" s="16" t="s">
        <v>22043</v>
      </c>
      <c r="T5" s="16" t="s">
        <v>22052</v>
      </c>
      <c r="U5" s="17" t="s">
        <v>22044</v>
      </c>
      <c r="V5" s="1">
        <v>201</v>
      </c>
    </row>
    <row r="6" spans="1:23" x14ac:dyDescent="0.3">
      <c r="A6" s="15">
        <v>4</v>
      </c>
      <c r="B6" s="16" t="s">
        <v>22056</v>
      </c>
      <c r="C6" s="16" t="s">
        <v>22057</v>
      </c>
      <c r="D6" s="16" t="s">
        <v>22045</v>
      </c>
      <c r="E6" s="16" t="s">
        <v>22058</v>
      </c>
      <c r="I6" s="16" t="s">
        <v>369</v>
      </c>
      <c r="J6" s="17" t="s">
        <v>22051</v>
      </c>
      <c r="K6" s="16" t="s">
        <v>743</v>
      </c>
      <c r="L6" s="16" t="s">
        <v>1826</v>
      </c>
      <c r="M6" s="16" t="s">
        <v>1917</v>
      </c>
      <c r="N6" s="16" t="s">
        <v>2002</v>
      </c>
      <c r="O6" s="16" t="s">
        <v>20917</v>
      </c>
      <c r="P6" s="16" t="s">
        <v>12461</v>
      </c>
      <c r="Q6" s="17" t="s">
        <v>22051</v>
      </c>
      <c r="R6" s="16" t="s">
        <v>13</v>
      </c>
      <c r="S6" s="16" t="s">
        <v>22043</v>
      </c>
      <c r="T6" s="16" t="s">
        <v>22052</v>
      </c>
      <c r="U6" s="17" t="s">
        <v>22044</v>
      </c>
      <c r="V6" s="1">
        <v>201</v>
      </c>
    </row>
    <row r="7" spans="1:23" x14ac:dyDescent="0.3">
      <c r="A7" s="15">
        <v>5</v>
      </c>
      <c r="B7" s="16" t="s">
        <v>22059</v>
      </c>
      <c r="C7" s="16" t="s">
        <v>22060</v>
      </c>
      <c r="D7" s="16" t="s">
        <v>22046</v>
      </c>
      <c r="E7" s="16" t="s">
        <v>22061</v>
      </c>
      <c r="I7" s="16" t="s">
        <v>369</v>
      </c>
      <c r="J7" s="17" t="s">
        <v>22051</v>
      </c>
      <c r="K7" s="16" t="s">
        <v>743</v>
      </c>
      <c r="L7" s="16" t="s">
        <v>1826</v>
      </c>
      <c r="M7" s="16" t="s">
        <v>1917</v>
      </c>
      <c r="N7" s="16" t="s">
        <v>2002</v>
      </c>
      <c r="O7" s="16" t="s">
        <v>20917</v>
      </c>
      <c r="P7" s="16" t="s">
        <v>12461</v>
      </c>
      <c r="Q7" s="17" t="s">
        <v>22051</v>
      </c>
      <c r="R7" s="16" t="s">
        <v>13</v>
      </c>
      <c r="S7" s="16" t="s">
        <v>22043</v>
      </c>
      <c r="T7" s="16" t="s">
        <v>22052</v>
      </c>
      <c r="U7" s="17" t="s">
        <v>22044</v>
      </c>
      <c r="V7" s="1">
        <v>202</v>
      </c>
    </row>
    <row r="8" spans="1:23" x14ac:dyDescent="0.3">
      <c r="A8" s="15">
        <v>6</v>
      </c>
      <c r="B8" s="16" t="s">
        <v>22062</v>
      </c>
      <c r="C8" s="16" t="s">
        <v>22063</v>
      </c>
      <c r="D8" s="16" t="s">
        <v>22046</v>
      </c>
      <c r="E8" s="16" t="s">
        <v>22064</v>
      </c>
      <c r="I8" s="16" t="s">
        <v>369</v>
      </c>
      <c r="J8" s="17" t="s">
        <v>22051</v>
      </c>
      <c r="K8" s="16" t="s">
        <v>743</v>
      </c>
      <c r="L8" s="16" t="s">
        <v>1826</v>
      </c>
      <c r="M8" s="16" t="s">
        <v>1917</v>
      </c>
      <c r="N8" s="16" t="s">
        <v>2002</v>
      </c>
      <c r="O8" s="16" t="s">
        <v>20917</v>
      </c>
      <c r="P8" s="16" t="s">
        <v>12461</v>
      </c>
      <c r="Q8" s="17" t="s">
        <v>22051</v>
      </c>
      <c r="R8" s="16" t="s">
        <v>13</v>
      </c>
      <c r="S8" s="16" t="s">
        <v>22043</v>
      </c>
      <c r="T8" s="16" t="s">
        <v>22052</v>
      </c>
      <c r="U8" s="17" t="s">
        <v>22044</v>
      </c>
      <c r="V8" s="1">
        <v>202</v>
      </c>
    </row>
    <row r="9" spans="1:23" x14ac:dyDescent="0.3">
      <c r="A9" s="15">
        <v>7</v>
      </c>
      <c r="B9" s="16" t="s">
        <v>22065</v>
      </c>
      <c r="C9" s="16" t="s">
        <v>22066</v>
      </c>
      <c r="D9" s="16" t="s">
        <v>22045</v>
      </c>
      <c r="E9" s="16" t="s">
        <v>22067</v>
      </c>
      <c r="I9" s="16" t="s">
        <v>369</v>
      </c>
      <c r="J9" s="17" t="s">
        <v>22051</v>
      </c>
      <c r="K9" s="16" t="s">
        <v>743</v>
      </c>
      <c r="L9" s="16" t="s">
        <v>1826</v>
      </c>
      <c r="M9" s="16" t="s">
        <v>1917</v>
      </c>
      <c r="N9" s="16" t="s">
        <v>2002</v>
      </c>
      <c r="O9" s="16" t="s">
        <v>20917</v>
      </c>
      <c r="P9" s="16" t="s">
        <v>12461</v>
      </c>
      <c r="Q9" s="17" t="s">
        <v>22051</v>
      </c>
      <c r="R9" s="16" t="s">
        <v>13</v>
      </c>
      <c r="S9" s="16" t="s">
        <v>22043</v>
      </c>
      <c r="T9" s="16" t="s">
        <v>22052</v>
      </c>
      <c r="U9" s="17" t="s">
        <v>22044</v>
      </c>
      <c r="V9" s="1">
        <v>202</v>
      </c>
    </row>
    <row r="10" spans="1:23" x14ac:dyDescent="0.3">
      <c r="A10" s="15">
        <v>8</v>
      </c>
      <c r="B10" s="16" t="s">
        <v>22068</v>
      </c>
      <c r="C10" s="16" t="s">
        <v>22069</v>
      </c>
      <c r="D10" s="16" t="s">
        <v>22046</v>
      </c>
      <c r="E10" s="16" t="s">
        <v>22070</v>
      </c>
      <c r="I10" s="16" t="s">
        <v>369</v>
      </c>
      <c r="J10" s="17" t="s">
        <v>22051</v>
      </c>
      <c r="K10" s="16" t="s">
        <v>743</v>
      </c>
      <c r="L10" s="16" t="s">
        <v>1826</v>
      </c>
      <c r="M10" s="16" t="s">
        <v>1917</v>
      </c>
      <c r="N10" s="16" t="s">
        <v>2002</v>
      </c>
      <c r="O10" s="16" t="s">
        <v>20917</v>
      </c>
      <c r="P10" s="16" t="s">
        <v>12461</v>
      </c>
      <c r="Q10" s="17" t="s">
        <v>22051</v>
      </c>
      <c r="R10" s="16" t="s">
        <v>13</v>
      </c>
      <c r="S10" s="16" t="s">
        <v>22043</v>
      </c>
      <c r="T10" s="16" t="s">
        <v>22052</v>
      </c>
      <c r="U10" s="17" t="s">
        <v>22044</v>
      </c>
      <c r="V10" s="1">
        <v>202</v>
      </c>
    </row>
    <row r="11" spans="1:23" x14ac:dyDescent="0.3">
      <c r="A11" s="15">
        <v>9</v>
      </c>
      <c r="B11" s="16" t="s">
        <v>22071</v>
      </c>
      <c r="C11" s="16" t="s">
        <v>22072</v>
      </c>
      <c r="D11" s="16" t="s">
        <v>22045</v>
      </c>
      <c r="E11" s="16" t="s">
        <v>22073</v>
      </c>
      <c r="I11" s="16" t="s">
        <v>369</v>
      </c>
      <c r="J11" s="17" t="s">
        <v>22051</v>
      </c>
      <c r="K11" s="16" t="s">
        <v>743</v>
      </c>
      <c r="L11" s="16" t="s">
        <v>1826</v>
      </c>
      <c r="M11" s="16" t="s">
        <v>1917</v>
      </c>
      <c r="N11" s="16" t="s">
        <v>2002</v>
      </c>
      <c r="O11" s="16" t="s">
        <v>20917</v>
      </c>
      <c r="P11" s="16" t="s">
        <v>12461</v>
      </c>
      <c r="Q11" s="17" t="s">
        <v>22051</v>
      </c>
      <c r="R11" s="16" t="s">
        <v>13</v>
      </c>
      <c r="S11" s="16" t="s">
        <v>22043</v>
      </c>
      <c r="T11" s="16" t="s">
        <v>22052</v>
      </c>
      <c r="U11" s="17" t="s">
        <v>22044</v>
      </c>
      <c r="V11" s="1">
        <v>203</v>
      </c>
    </row>
    <row r="12" spans="1:23" x14ac:dyDescent="0.3">
      <c r="A12" s="15">
        <v>10</v>
      </c>
      <c r="B12" s="16" t="s">
        <v>22074</v>
      </c>
      <c r="C12" s="16" t="s">
        <v>22075</v>
      </c>
      <c r="D12" s="16" t="s">
        <v>22046</v>
      </c>
      <c r="E12" s="16" t="s">
        <v>22076</v>
      </c>
      <c r="I12" s="16" t="s">
        <v>369</v>
      </c>
      <c r="J12" s="17" t="s">
        <v>22051</v>
      </c>
      <c r="K12" s="16" t="s">
        <v>743</v>
      </c>
      <c r="L12" s="16" t="s">
        <v>1826</v>
      </c>
      <c r="M12" s="16" t="s">
        <v>1917</v>
      </c>
      <c r="N12" s="16" t="s">
        <v>2002</v>
      </c>
      <c r="O12" s="16" t="s">
        <v>20917</v>
      </c>
      <c r="P12" s="16" t="s">
        <v>12461</v>
      </c>
      <c r="Q12" s="17" t="s">
        <v>22051</v>
      </c>
      <c r="R12" s="16" t="s">
        <v>13</v>
      </c>
      <c r="S12" s="16" t="s">
        <v>22043</v>
      </c>
      <c r="T12" s="16" t="s">
        <v>22052</v>
      </c>
      <c r="U12" s="17" t="s">
        <v>22044</v>
      </c>
      <c r="V12" s="1">
        <v>203</v>
      </c>
    </row>
    <row r="13" spans="1:23" x14ac:dyDescent="0.3">
      <c r="A13" s="15">
        <v>11</v>
      </c>
      <c r="B13" s="16" t="s">
        <v>22077</v>
      </c>
      <c r="C13" s="16" t="s">
        <v>22078</v>
      </c>
      <c r="D13" s="16" t="s">
        <v>22045</v>
      </c>
      <c r="E13" s="16" t="s">
        <v>22079</v>
      </c>
      <c r="I13" s="16" t="s">
        <v>369</v>
      </c>
      <c r="J13" s="17" t="s">
        <v>22051</v>
      </c>
      <c r="K13" s="16" t="s">
        <v>743</v>
      </c>
      <c r="L13" s="16" t="s">
        <v>1826</v>
      </c>
      <c r="M13" s="16" t="s">
        <v>1917</v>
      </c>
      <c r="N13" s="16" t="s">
        <v>2002</v>
      </c>
      <c r="O13" s="16" t="s">
        <v>20917</v>
      </c>
      <c r="P13" s="16" t="s">
        <v>12461</v>
      </c>
      <c r="Q13" s="17" t="s">
        <v>22051</v>
      </c>
      <c r="R13" s="16" t="s">
        <v>13</v>
      </c>
      <c r="S13" s="16" t="s">
        <v>22043</v>
      </c>
      <c r="T13" s="16" t="s">
        <v>22052</v>
      </c>
      <c r="U13" s="17" t="s">
        <v>22044</v>
      </c>
      <c r="V13" s="1">
        <v>203</v>
      </c>
    </row>
    <row r="14" spans="1:23" x14ac:dyDescent="0.3">
      <c r="A14" s="15">
        <v>12</v>
      </c>
      <c r="B14" s="16" t="s">
        <v>22080</v>
      </c>
      <c r="C14" s="16" t="s">
        <v>22081</v>
      </c>
      <c r="D14" s="16" t="s">
        <v>22046</v>
      </c>
      <c r="E14" s="16" t="s">
        <v>22082</v>
      </c>
      <c r="I14" s="16" t="s">
        <v>369</v>
      </c>
      <c r="J14" s="17" t="s">
        <v>22051</v>
      </c>
      <c r="K14" s="16" t="s">
        <v>743</v>
      </c>
      <c r="L14" s="16" t="s">
        <v>1826</v>
      </c>
      <c r="M14" s="16" t="s">
        <v>1917</v>
      </c>
      <c r="N14" s="16" t="s">
        <v>2002</v>
      </c>
      <c r="O14" s="16" t="s">
        <v>20917</v>
      </c>
      <c r="P14" s="16" t="s">
        <v>12461</v>
      </c>
      <c r="Q14" s="17" t="s">
        <v>22051</v>
      </c>
      <c r="R14" s="16" t="s">
        <v>13</v>
      </c>
      <c r="S14" s="16" t="s">
        <v>22043</v>
      </c>
      <c r="T14" s="16" t="s">
        <v>22052</v>
      </c>
      <c r="U14" s="17" t="s">
        <v>22044</v>
      </c>
      <c r="V14" s="1">
        <v>203</v>
      </c>
    </row>
    <row r="15" spans="1:23" x14ac:dyDescent="0.3">
      <c r="A15" s="15">
        <v>13</v>
      </c>
      <c r="B15" s="16" t="s">
        <v>22083</v>
      </c>
      <c r="C15" s="16" t="s">
        <v>22084</v>
      </c>
      <c r="D15" s="16" t="s">
        <v>22046</v>
      </c>
      <c r="E15" s="16" t="s">
        <v>22085</v>
      </c>
      <c r="I15" s="16" t="s">
        <v>369</v>
      </c>
      <c r="J15" s="17" t="s">
        <v>22051</v>
      </c>
      <c r="K15" s="16" t="s">
        <v>743</v>
      </c>
      <c r="L15" s="16" t="s">
        <v>1826</v>
      </c>
      <c r="M15" s="16" t="s">
        <v>1917</v>
      </c>
      <c r="N15" s="16" t="s">
        <v>2002</v>
      </c>
      <c r="O15" s="16" t="s">
        <v>20917</v>
      </c>
      <c r="P15" s="16" t="s">
        <v>12461</v>
      </c>
      <c r="Q15" s="17" t="s">
        <v>22051</v>
      </c>
      <c r="R15" s="16" t="s">
        <v>13</v>
      </c>
      <c r="S15" s="16" t="s">
        <v>22043</v>
      </c>
      <c r="T15" s="16" t="s">
        <v>22052</v>
      </c>
      <c r="U15" s="17" t="s">
        <v>22044</v>
      </c>
      <c r="V15" s="1">
        <v>204</v>
      </c>
    </row>
    <row r="16" spans="1:23" x14ac:dyDescent="0.3">
      <c r="A16" s="15">
        <v>14</v>
      </c>
      <c r="B16" s="16" t="s">
        <v>22086</v>
      </c>
      <c r="C16" s="16" t="s">
        <v>22087</v>
      </c>
      <c r="D16" s="16" t="s">
        <v>22045</v>
      </c>
      <c r="E16" s="16" t="s">
        <v>22088</v>
      </c>
      <c r="I16" s="16" t="s">
        <v>369</v>
      </c>
      <c r="J16" s="17" t="s">
        <v>22051</v>
      </c>
      <c r="K16" s="16" t="s">
        <v>743</v>
      </c>
      <c r="L16" s="16" t="s">
        <v>1826</v>
      </c>
      <c r="M16" s="16" t="s">
        <v>1917</v>
      </c>
      <c r="N16" s="16" t="s">
        <v>2002</v>
      </c>
      <c r="O16" s="16" t="s">
        <v>20917</v>
      </c>
      <c r="P16" s="16" t="s">
        <v>12461</v>
      </c>
      <c r="Q16" s="17" t="s">
        <v>22051</v>
      </c>
      <c r="R16" s="16" t="s">
        <v>13</v>
      </c>
      <c r="S16" s="16" t="s">
        <v>22043</v>
      </c>
      <c r="T16" s="16" t="s">
        <v>22052</v>
      </c>
      <c r="U16" s="17" t="s">
        <v>22044</v>
      </c>
      <c r="V16" s="1">
        <v>204</v>
      </c>
    </row>
    <row r="17" spans="1:22" x14ac:dyDescent="0.3">
      <c r="A17" s="15">
        <v>15</v>
      </c>
      <c r="B17" s="16" t="s">
        <v>22089</v>
      </c>
      <c r="C17" s="16" t="s">
        <v>22090</v>
      </c>
      <c r="D17" s="16" t="s">
        <v>22046</v>
      </c>
      <c r="E17" s="16" t="s">
        <v>22091</v>
      </c>
      <c r="I17" s="16" t="s">
        <v>369</v>
      </c>
      <c r="J17" s="17" t="s">
        <v>22051</v>
      </c>
      <c r="K17" s="16" t="s">
        <v>743</v>
      </c>
      <c r="L17" s="16" t="s">
        <v>1826</v>
      </c>
      <c r="M17" s="16" t="s">
        <v>1917</v>
      </c>
      <c r="N17" s="16" t="s">
        <v>2002</v>
      </c>
      <c r="O17" s="16" t="s">
        <v>20917</v>
      </c>
      <c r="P17" s="16" t="s">
        <v>12461</v>
      </c>
      <c r="Q17" s="17" t="s">
        <v>22051</v>
      </c>
      <c r="R17" s="16" t="s">
        <v>13</v>
      </c>
      <c r="S17" s="16" t="s">
        <v>22043</v>
      </c>
      <c r="T17" s="16" t="s">
        <v>22052</v>
      </c>
      <c r="U17" s="17" t="s">
        <v>22044</v>
      </c>
      <c r="V17" s="1">
        <v>204</v>
      </c>
    </row>
    <row r="18" spans="1:22" x14ac:dyDescent="0.3">
      <c r="A18" s="15">
        <v>16</v>
      </c>
      <c r="B18" s="16" t="s">
        <v>22092</v>
      </c>
      <c r="C18" s="16" t="s">
        <v>22093</v>
      </c>
      <c r="D18" s="16" t="s">
        <v>22046</v>
      </c>
      <c r="E18" s="16" t="s">
        <v>22094</v>
      </c>
      <c r="I18" s="16" t="s">
        <v>369</v>
      </c>
      <c r="J18" s="17" t="s">
        <v>22051</v>
      </c>
      <c r="K18" s="16" t="s">
        <v>743</v>
      </c>
      <c r="L18" s="16" t="s">
        <v>1826</v>
      </c>
      <c r="M18" s="16" t="s">
        <v>1917</v>
      </c>
      <c r="N18" s="16" t="s">
        <v>2002</v>
      </c>
      <c r="O18" s="16" t="s">
        <v>20917</v>
      </c>
      <c r="P18" s="16" t="s">
        <v>12461</v>
      </c>
      <c r="Q18" s="17" t="s">
        <v>22051</v>
      </c>
      <c r="R18" s="16" t="s">
        <v>13</v>
      </c>
      <c r="S18" s="16" t="s">
        <v>22043</v>
      </c>
      <c r="T18" s="16" t="s">
        <v>22052</v>
      </c>
      <c r="U18" s="17" t="s">
        <v>22044</v>
      </c>
      <c r="V18" s="1">
        <v>204</v>
      </c>
    </row>
    <row r="19" spans="1:22" x14ac:dyDescent="0.3">
      <c r="A19" s="15">
        <v>17</v>
      </c>
      <c r="B19" s="16" t="s">
        <v>22095</v>
      </c>
      <c r="C19" s="16" t="s">
        <v>22096</v>
      </c>
      <c r="D19" s="16" t="s">
        <v>22045</v>
      </c>
      <c r="E19" s="16" t="s">
        <v>22097</v>
      </c>
      <c r="I19" s="16" t="s">
        <v>369</v>
      </c>
      <c r="J19" s="17" t="s">
        <v>22051</v>
      </c>
      <c r="K19" s="16" t="s">
        <v>743</v>
      </c>
      <c r="L19" s="16" t="s">
        <v>1826</v>
      </c>
      <c r="M19" s="16" t="s">
        <v>1917</v>
      </c>
      <c r="N19" s="16" t="s">
        <v>2002</v>
      </c>
      <c r="O19" s="16" t="s">
        <v>20917</v>
      </c>
      <c r="P19" s="16" t="s">
        <v>12461</v>
      </c>
      <c r="Q19" s="17" t="s">
        <v>22051</v>
      </c>
      <c r="R19" s="16" t="s">
        <v>13</v>
      </c>
      <c r="S19" s="16" t="s">
        <v>22043</v>
      </c>
      <c r="T19" s="16" t="s">
        <v>22052</v>
      </c>
      <c r="U19" s="17" t="s">
        <v>22044</v>
      </c>
      <c r="V19" s="1">
        <v>205</v>
      </c>
    </row>
    <row r="20" spans="1:22" x14ac:dyDescent="0.3">
      <c r="A20" s="15">
        <v>18</v>
      </c>
      <c r="B20" s="16" t="s">
        <v>22098</v>
      </c>
      <c r="C20" s="16" t="s">
        <v>22099</v>
      </c>
      <c r="D20" s="16" t="s">
        <v>22046</v>
      </c>
      <c r="E20" s="16" t="s">
        <v>22100</v>
      </c>
      <c r="I20" s="16" t="s">
        <v>369</v>
      </c>
      <c r="J20" s="17" t="s">
        <v>22051</v>
      </c>
      <c r="K20" s="16" t="s">
        <v>743</v>
      </c>
      <c r="L20" s="16" t="s">
        <v>1826</v>
      </c>
      <c r="M20" s="16" t="s">
        <v>1917</v>
      </c>
      <c r="N20" s="16" t="s">
        <v>2002</v>
      </c>
      <c r="O20" s="16" t="s">
        <v>20917</v>
      </c>
      <c r="P20" s="16" t="s">
        <v>12461</v>
      </c>
      <c r="Q20" s="17" t="s">
        <v>22051</v>
      </c>
      <c r="R20" s="16" t="s">
        <v>13</v>
      </c>
      <c r="S20" s="16" t="s">
        <v>22043</v>
      </c>
      <c r="T20" s="16" t="s">
        <v>22052</v>
      </c>
      <c r="U20" s="17" t="s">
        <v>22044</v>
      </c>
      <c r="V20" s="1">
        <v>205</v>
      </c>
    </row>
    <row r="21" spans="1:22" x14ac:dyDescent="0.3">
      <c r="A21" s="15">
        <v>19</v>
      </c>
      <c r="B21" s="16" t="s">
        <v>22101</v>
      </c>
      <c r="C21" s="16" t="s">
        <v>22102</v>
      </c>
      <c r="D21" s="16" t="s">
        <v>22045</v>
      </c>
      <c r="E21" s="16" t="s">
        <v>22103</v>
      </c>
      <c r="I21" s="16" t="s">
        <v>369</v>
      </c>
      <c r="J21" s="17" t="s">
        <v>22051</v>
      </c>
      <c r="K21" s="16" t="s">
        <v>743</v>
      </c>
      <c r="L21" s="16" t="s">
        <v>1826</v>
      </c>
      <c r="M21" s="16" t="s">
        <v>1917</v>
      </c>
      <c r="N21" s="16" t="s">
        <v>2002</v>
      </c>
      <c r="O21" s="16" t="s">
        <v>20917</v>
      </c>
      <c r="P21" s="16" t="s">
        <v>12461</v>
      </c>
      <c r="Q21" s="17" t="s">
        <v>22051</v>
      </c>
      <c r="R21" s="16" t="s">
        <v>13</v>
      </c>
      <c r="S21" s="16" t="s">
        <v>22043</v>
      </c>
      <c r="T21" s="16" t="s">
        <v>22052</v>
      </c>
      <c r="U21" s="17" t="s">
        <v>22044</v>
      </c>
      <c r="V21" s="1">
        <v>205</v>
      </c>
    </row>
    <row r="22" spans="1:22" x14ac:dyDescent="0.3">
      <c r="A22" s="15">
        <v>20</v>
      </c>
      <c r="B22" s="16" t="s">
        <v>22104</v>
      </c>
      <c r="C22" s="16" t="s">
        <v>22105</v>
      </c>
      <c r="D22" s="16" t="s">
        <v>22045</v>
      </c>
      <c r="E22" s="16" t="s">
        <v>22106</v>
      </c>
      <c r="I22" s="16" t="s">
        <v>369</v>
      </c>
      <c r="J22" s="17" t="s">
        <v>22051</v>
      </c>
      <c r="K22" s="16" t="s">
        <v>743</v>
      </c>
      <c r="L22" s="16" t="s">
        <v>1826</v>
      </c>
      <c r="M22" s="16" t="s">
        <v>1917</v>
      </c>
      <c r="N22" s="16" t="s">
        <v>2002</v>
      </c>
      <c r="O22" s="16" t="s">
        <v>20917</v>
      </c>
      <c r="P22" s="16" t="s">
        <v>12461</v>
      </c>
      <c r="Q22" s="17" t="s">
        <v>22051</v>
      </c>
      <c r="R22" s="16" t="s">
        <v>13</v>
      </c>
      <c r="S22" s="16" t="s">
        <v>22043</v>
      </c>
      <c r="T22" s="16" t="s">
        <v>22052</v>
      </c>
      <c r="U22" s="17" t="s">
        <v>22044</v>
      </c>
      <c r="V22" s="1">
        <v>205</v>
      </c>
    </row>
    <row r="23" spans="1:22" x14ac:dyDescent="0.3">
      <c r="A23" s="15">
        <v>21</v>
      </c>
      <c r="B23" s="16" t="s">
        <v>22107</v>
      </c>
      <c r="C23" s="16" t="s">
        <v>22108</v>
      </c>
      <c r="D23" s="16" t="s">
        <v>22045</v>
      </c>
      <c r="E23" s="16" t="s">
        <v>22109</v>
      </c>
      <c r="I23" s="16" t="s">
        <v>369</v>
      </c>
      <c r="J23" s="17" t="s">
        <v>22051</v>
      </c>
      <c r="K23" s="16" t="s">
        <v>743</v>
      </c>
      <c r="L23" s="16" t="s">
        <v>1826</v>
      </c>
      <c r="M23" s="16" t="s">
        <v>1917</v>
      </c>
      <c r="N23" s="16" t="s">
        <v>2002</v>
      </c>
      <c r="O23" s="16" t="s">
        <v>20917</v>
      </c>
      <c r="P23" s="16" t="s">
        <v>12461</v>
      </c>
      <c r="Q23" s="17" t="s">
        <v>22051</v>
      </c>
      <c r="R23" s="16" t="s">
        <v>13</v>
      </c>
      <c r="S23" s="16" t="s">
        <v>22043</v>
      </c>
      <c r="T23" s="16" t="s">
        <v>22052</v>
      </c>
      <c r="U23" s="17" t="s">
        <v>22044</v>
      </c>
      <c r="V23" s="1">
        <v>206</v>
      </c>
    </row>
    <row r="24" spans="1:22" x14ac:dyDescent="0.3">
      <c r="A24" s="15">
        <v>22</v>
      </c>
      <c r="B24" s="16" t="s">
        <v>22110</v>
      </c>
      <c r="C24" s="16" t="s">
        <v>22111</v>
      </c>
      <c r="D24" s="16" t="s">
        <v>22045</v>
      </c>
      <c r="E24" s="16" t="s">
        <v>22112</v>
      </c>
      <c r="I24" s="16" t="s">
        <v>369</v>
      </c>
      <c r="J24" s="17" t="s">
        <v>22051</v>
      </c>
      <c r="K24" s="16" t="s">
        <v>743</v>
      </c>
      <c r="L24" s="16" t="s">
        <v>1826</v>
      </c>
      <c r="M24" s="16" t="s">
        <v>1917</v>
      </c>
      <c r="N24" s="16" t="s">
        <v>2002</v>
      </c>
      <c r="O24" s="16" t="s">
        <v>20917</v>
      </c>
      <c r="P24" s="16" t="s">
        <v>12461</v>
      </c>
      <c r="Q24" s="17" t="s">
        <v>22051</v>
      </c>
      <c r="R24" s="16" t="s">
        <v>13</v>
      </c>
      <c r="S24" s="16" t="s">
        <v>22043</v>
      </c>
      <c r="T24" s="16" t="s">
        <v>22052</v>
      </c>
      <c r="U24" s="17" t="s">
        <v>22044</v>
      </c>
      <c r="V24" s="1">
        <v>206</v>
      </c>
    </row>
    <row r="25" spans="1:22" x14ac:dyDescent="0.3">
      <c r="A25" s="15">
        <v>23</v>
      </c>
      <c r="B25" s="16" t="s">
        <v>22113</v>
      </c>
      <c r="C25" s="16" t="s">
        <v>22114</v>
      </c>
      <c r="D25" s="16" t="s">
        <v>22046</v>
      </c>
      <c r="E25" s="16" t="s">
        <v>22115</v>
      </c>
      <c r="I25" s="16" t="s">
        <v>369</v>
      </c>
      <c r="J25" s="17" t="s">
        <v>22051</v>
      </c>
      <c r="K25" s="16" t="s">
        <v>743</v>
      </c>
      <c r="L25" s="16" t="s">
        <v>1826</v>
      </c>
      <c r="M25" s="16" t="s">
        <v>1917</v>
      </c>
      <c r="N25" s="16" t="s">
        <v>2002</v>
      </c>
      <c r="O25" s="16" t="s">
        <v>20917</v>
      </c>
      <c r="P25" s="16" t="s">
        <v>12461</v>
      </c>
      <c r="Q25" s="17" t="s">
        <v>22051</v>
      </c>
      <c r="R25" s="16" t="s">
        <v>13</v>
      </c>
      <c r="S25" s="16" t="s">
        <v>22043</v>
      </c>
      <c r="T25" s="16" t="s">
        <v>22052</v>
      </c>
      <c r="U25" s="17" t="s">
        <v>22044</v>
      </c>
      <c r="V25" s="1">
        <v>206</v>
      </c>
    </row>
    <row r="26" spans="1:22" x14ac:dyDescent="0.3">
      <c r="A26" s="15">
        <v>24</v>
      </c>
      <c r="B26" s="16" t="s">
        <v>22116</v>
      </c>
      <c r="C26" s="16" t="s">
        <v>22117</v>
      </c>
      <c r="D26" s="16" t="s">
        <v>22046</v>
      </c>
      <c r="E26" s="16" t="s">
        <v>22118</v>
      </c>
      <c r="I26" s="16" t="s">
        <v>369</v>
      </c>
      <c r="J26" s="17" t="s">
        <v>22051</v>
      </c>
      <c r="K26" s="16" t="s">
        <v>743</v>
      </c>
      <c r="L26" s="16" t="s">
        <v>1826</v>
      </c>
      <c r="M26" s="16" t="s">
        <v>1917</v>
      </c>
      <c r="N26" s="16" t="s">
        <v>2002</v>
      </c>
      <c r="O26" s="16" t="s">
        <v>20917</v>
      </c>
      <c r="P26" s="16" t="s">
        <v>12461</v>
      </c>
      <c r="Q26" s="17" t="s">
        <v>22051</v>
      </c>
      <c r="R26" s="16" t="s">
        <v>13</v>
      </c>
      <c r="S26" s="16" t="s">
        <v>22043</v>
      </c>
      <c r="T26" s="16" t="s">
        <v>22052</v>
      </c>
      <c r="U26" s="17" t="s">
        <v>22044</v>
      </c>
      <c r="V26" s="1">
        <v>206</v>
      </c>
    </row>
    <row r="27" spans="1:22" x14ac:dyDescent="0.3">
      <c r="A27" s="15">
        <v>25</v>
      </c>
      <c r="B27" s="16" t="s">
        <v>22119</v>
      </c>
      <c r="C27" s="16" t="s">
        <v>22120</v>
      </c>
      <c r="D27" s="16" t="s">
        <v>22045</v>
      </c>
      <c r="E27" s="16" t="s">
        <v>22121</v>
      </c>
      <c r="I27" s="16" t="s">
        <v>369</v>
      </c>
      <c r="J27" s="17" t="s">
        <v>22051</v>
      </c>
      <c r="K27" s="16" t="s">
        <v>743</v>
      </c>
      <c r="L27" s="16" t="s">
        <v>1826</v>
      </c>
      <c r="M27" s="16" t="s">
        <v>1917</v>
      </c>
      <c r="N27" s="16" t="s">
        <v>2002</v>
      </c>
      <c r="O27" s="16" t="s">
        <v>20917</v>
      </c>
      <c r="P27" s="16" t="s">
        <v>12461</v>
      </c>
      <c r="Q27" s="17" t="s">
        <v>22051</v>
      </c>
      <c r="R27" s="16" t="s">
        <v>13</v>
      </c>
      <c r="S27" s="16" t="s">
        <v>22043</v>
      </c>
      <c r="T27" s="16" t="s">
        <v>22052</v>
      </c>
      <c r="U27" s="17" t="s">
        <v>22044</v>
      </c>
      <c r="V27" s="1">
        <v>207</v>
      </c>
    </row>
    <row r="28" spans="1:22" x14ac:dyDescent="0.3">
      <c r="A28" s="15">
        <v>26</v>
      </c>
      <c r="B28" s="16" t="s">
        <v>22122</v>
      </c>
      <c r="C28" s="16" t="s">
        <v>22123</v>
      </c>
      <c r="D28" s="16" t="s">
        <v>22046</v>
      </c>
      <c r="E28" s="16" t="s">
        <v>22124</v>
      </c>
      <c r="I28" s="16" t="s">
        <v>369</v>
      </c>
      <c r="J28" s="17" t="s">
        <v>22051</v>
      </c>
      <c r="K28" s="16" t="s">
        <v>743</v>
      </c>
      <c r="L28" s="16" t="s">
        <v>1826</v>
      </c>
      <c r="M28" s="16" t="s">
        <v>1917</v>
      </c>
      <c r="N28" s="16" t="s">
        <v>2002</v>
      </c>
      <c r="O28" s="16" t="s">
        <v>20917</v>
      </c>
      <c r="P28" s="16" t="s">
        <v>12461</v>
      </c>
      <c r="Q28" s="17" t="s">
        <v>22051</v>
      </c>
      <c r="R28" s="16" t="s">
        <v>13</v>
      </c>
      <c r="S28" s="16" t="s">
        <v>22043</v>
      </c>
      <c r="T28" s="16" t="s">
        <v>22052</v>
      </c>
      <c r="U28" s="17" t="s">
        <v>22044</v>
      </c>
      <c r="V28" s="1">
        <v>207</v>
      </c>
    </row>
    <row r="29" spans="1:22" x14ac:dyDescent="0.3">
      <c r="A29" s="15">
        <v>27</v>
      </c>
      <c r="B29" s="16" t="s">
        <v>22125</v>
      </c>
      <c r="C29" s="16" t="s">
        <v>22126</v>
      </c>
      <c r="D29" s="16" t="s">
        <v>22046</v>
      </c>
      <c r="E29" s="16" t="s">
        <v>22127</v>
      </c>
      <c r="I29" s="16" t="s">
        <v>369</v>
      </c>
      <c r="J29" s="17" t="s">
        <v>22051</v>
      </c>
      <c r="K29" s="16" t="s">
        <v>743</v>
      </c>
      <c r="L29" s="16" t="s">
        <v>1826</v>
      </c>
      <c r="M29" s="16" t="s">
        <v>1917</v>
      </c>
      <c r="N29" s="16" t="s">
        <v>2002</v>
      </c>
      <c r="O29" s="16" t="s">
        <v>20917</v>
      </c>
      <c r="P29" s="16" t="s">
        <v>12461</v>
      </c>
      <c r="Q29" s="17" t="s">
        <v>22051</v>
      </c>
      <c r="R29" s="16" t="s">
        <v>13</v>
      </c>
      <c r="S29" s="16" t="s">
        <v>22043</v>
      </c>
      <c r="T29" s="16" t="s">
        <v>22052</v>
      </c>
      <c r="U29" s="17" t="s">
        <v>22044</v>
      </c>
      <c r="V29" s="1">
        <v>207</v>
      </c>
    </row>
    <row r="30" spans="1:22" x14ac:dyDescent="0.3">
      <c r="A30" s="15">
        <v>28</v>
      </c>
      <c r="B30" s="16" t="s">
        <v>22128</v>
      </c>
      <c r="C30" s="16" t="s">
        <v>22129</v>
      </c>
      <c r="D30" s="16" t="s">
        <v>22046</v>
      </c>
      <c r="E30" s="16" t="s">
        <v>22130</v>
      </c>
      <c r="I30" s="16" t="s">
        <v>369</v>
      </c>
      <c r="J30" s="17" t="s">
        <v>22051</v>
      </c>
      <c r="K30" s="16" t="s">
        <v>743</v>
      </c>
      <c r="L30" s="16" t="s">
        <v>1826</v>
      </c>
      <c r="M30" s="16" t="s">
        <v>1917</v>
      </c>
      <c r="N30" s="16" t="s">
        <v>2002</v>
      </c>
      <c r="O30" s="16" t="s">
        <v>20917</v>
      </c>
      <c r="P30" s="16" t="s">
        <v>12461</v>
      </c>
      <c r="Q30" s="17" t="s">
        <v>22051</v>
      </c>
      <c r="R30" s="16" t="s">
        <v>13</v>
      </c>
      <c r="S30" s="16" t="s">
        <v>22043</v>
      </c>
      <c r="T30" s="16" t="s">
        <v>22052</v>
      </c>
      <c r="U30" s="17" t="s">
        <v>22044</v>
      </c>
      <c r="V30" s="1">
        <v>207</v>
      </c>
    </row>
    <row r="31" spans="1:22" x14ac:dyDescent="0.3">
      <c r="A31" s="15">
        <v>29</v>
      </c>
      <c r="B31" s="16" t="s">
        <v>22131</v>
      </c>
      <c r="C31" s="16" t="s">
        <v>22132</v>
      </c>
      <c r="D31" s="16" t="s">
        <v>22046</v>
      </c>
      <c r="E31" s="16" t="s">
        <v>22133</v>
      </c>
      <c r="I31" s="16" t="s">
        <v>369</v>
      </c>
      <c r="J31" s="17" t="s">
        <v>22051</v>
      </c>
      <c r="K31" s="16" t="s">
        <v>743</v>
      </c>
      <c r="L31" s="16" t="s">
        <v>1826</v>
      </c>
      <c r="M31" s="16" t="s">
        <v>1917</v>
      </c>
      <c r="N31" s="16" t="s">
        <v>2002</v>
      </c>
      <c r="O31" s="16" t="s">
        <v>20917</v>
      </c>
      <c r="P31" s="16" t="s">
        <v>12461</v>
      </c>
      <c r="Q31" s="17" t="s">
        <v>22051</v>
      </c>
      <c r="R31" s="16" t="s">
        <v>13</v>
      </c>
      <c r="S31" s="16" t="s">
        <v>22043</v>
      </c>
      <c r="T31" s="16" t="s">
        <v>22052</v>
      </c>
      <c r="U31" s="17" t="s">
        <v>22044</v>
      </c>
      <c r="V31">
        <v>301</v>
      </c>
    </row>
    <row r="32" spans="1:22" x14ac:dyDescent="0.3">
      <c r="A32" s="15">
        <v>30</v>
      </c>
      <c r="B32" s="16" t="s">
        <v>22134</v>
      </c>
      <c r="C32" s="16" t="s">
        <v>22135</v>
      </c>
      <c r="D32" s="16" t="s">
        <v>22046</v>
      </c>
      <c r="E32" s="16" t="s">
        <v>22136</v>
      </c>
      <c r="I32" s="16" t="s">
        <v>369</v>
      </c>
      <c r="J32" s="17" t="s">
        <v>22051</v>
      </c>
      <c r="K32" s="16" t="s">
        <v>743</v>
      </c>
      <c r="L32" s="16" t="s">
        <v>1826</v>
      </c>
      <c r="M32" s="16" t="s">
        <v>1917</v>
      </c>
      <c r="N32" s="16" t="s">
        <v>2002</v>
      </c>
      <c r="O32" s="16" t="s">
        <v>20917</v>
      </c>
      <c r="P32" s="16" t="s">
        <v>12461</v>
      </c>
      <c r="Q32" s="17" t="s">
        <v>22051</v>
      </c>
      <c r="R32" s="16" t="s">
        <v>13</v>
      </c>
      <c r="S32" s="16" t="s">
        <v>22043</v>
      </c>
      <c r="T32" s="16" t="s">
        <v>22052</v>
      </c>
      <c r="U32" s="17" t="s">
        <v>22044</v>
      </c>
      <c r="V32">
        <v>301</v>
      </c>
    </row>
    <row r="33" spans="1:22" x14ac:dyDescent="0.3">
      <c r="A33" s="15">
        <v>31</v>
      </c>
      <c r="B33" s="16" t="s">
        <v>22137</v>
      </c>
      <c r="C33" s="16" t="s">
        <v>22138</v>
      </c>
      <c r="D33" s="16" t="s">
        <v>22045</v>
      </c>
      <c r="E33" s="16" t="s">
        <v>22139</v>
      </c>
      <c r="I33" s="16" t="s">
        <v>369</v>
      </c>
      <c r="J33" s="17" t="s">
        <v>22051</v>
      </c>
      <c r="K33" s="16" t="s">
        <v>743</v>
      </c>
      <c r="L33" s="16" t="s">
        <v>1826</v>
      </c>
      <c r="M33" s="16" t="s">
        <v>1917</v>
      </c>
      <c r="N33" s="16" t="s">
        <v>2002</v>
      </c>
      <c r="O33" s="16" t="s">
        <v>20917</v>
      </c>
      <c r="P33" s="16" t="s">
        <v>12461</v>
      </c>
      <c r="Q33" s="17" t="s">
        <v>22051</v>
      </c>
      <c r="R33" s="16" t="s">
        <v>13</v>
      </c>
      <c r="S33" s="16" t="s">
        <v>22043</v>
      </c>
      <c r="T33" s="16" t="s">
        <v>22052</v>
      </c>
      <c r="U33" s="17" t="s">
        <v>22044</v>
      </c>
      <c r="V33">
        <v>301</v>
      </c>
    </row>
    <row r="34" spans="1:22" x14ac:dyDescent="0.3">
      <c r="A34" s="15">
        <v>32</v>
      </c>
      <c r="B34" s="16" t="s">
        <v>22140</v>
      </c>
      <c r="C34" s="16" t="s">
        <v>22141</v>
      </c>
      <c r="D34" s="16" t="s">
        <v>22045</v>
      </c>
      <c r="E34" s="16" t="s">
        <v>22142</v>
      </c>
      <c r="I34" s="16" t="s">
        <v>369</v>
      </c>
      <c r="J34" s="17" t="s">
        <v>22051</v>
      </c>
      <c r="K34" s="16" t="s">
        <v>743</v>
      </c>
      <c r="L34" s="16" t="s">
        <v>1826</v>
      </c>
      <c r="M34" s="16" t="s">
        <v>1917</v>
      </c>
      <c r="N34" s="16" t="s">
        <v>2002</v>
      </c>
      <c r="O34" s="16" t="s">
        <v>20917</v>
      </c>
      <c r="P34" s="16" t="s">
        <v>12461</v>
      </c>
      <c r="Q34" s="17" t="s">
        <v>22051</v>
      </c>
      <c r="R34" s="16" t="s">
        <v>13</v>
      </c>
      <c r="S34" s="16" t="s">
        <v>22043</v>
      </c>
      <c r="T34" s="16" t="s">
        <v>22052</v>
      </c>
      <c r="U34" s="17" t="s">
        <v>22044</v>
      </c>
      <c r="V34">
        <v>301</v>
      </c>
    </row>
    <row r="35" spans="1:22" x14ac:dyDescent="0.3">
      <c r="A35" s="15">
        <v>33</v>
      </c>
      <c r="B35" s="16" t="s">
        <v>22143</v>
      </c>
      <c r="C35" s="16" t="s">
        <v>22144</v>
      </c>
      <c r="D35" s="16" t="s">
        <v>22045</v>
      </c>
      <c r="E35" s="16" t="s">
        <v>22145</v>
      </c>
      <c r="I35" s="16" t="s">
        <v>369</v>
      </c>
      <c r="J35" s="17" t="s">
        <v>22051</v>
      </c>
      <c r="K35" s="16" t="s">
        <v>743</v>
      </c>
      <c r="L35" s="16" t="s">
        <v>1826</v>
      </c>
      <c r="M35" s="16" t="s">
        <v>1917</v>
      </c>
      <c r="N35" s="16" t="s">
        <v>2002</v>
      </c>
      <c r="O35" s="16" t="s">
        <v>20917</v>
      </c>
      <c r="P35" s="16" t="s">
        <v>12461</v>
      </c>
      <c r="Q35" s="17" t="s">
        <v>22051</v>
      </c>
      <c r="R35" s="16" t="s">
        <v>13</v>
      </c>
      <c r="S35" s="16" t="s">
        <v>22043</v>
      </c>
      <c r="T35" s="16" t="s">
        <v>22052</v>
      </c>
      <c r="U35" s="17" t="s">
        <v>22044</v>
      </c>
      <c r="V35">
        <v>302</v>
      </c>
    </row>
    <row r="36" spans="1:22" x14ac:dyDescent="0.3">
      <c r="A36" s="15">
        <v>34</v>
      </c>
      <c r="B36" s="16" t="s">
        <v>22146</v>
      </c>
      <c r="C36" s="16" t="s">
        <v>22147</v>
      </c>
      <c r="D36" s="16" t="s">
        <v>22046</v>
      </c>
      <c r="E36" s="16" t="s">
        <v>22148</v>
      </c>
      <c r="I36" s="16" t="s">
        <v>369</v>
      </c>
      <c r="J36" s="17" t="s">
        <v>22051</v>
      </c>
      <c r="K36" s="16" t="s">
        <v>743</v>
      </c>
      <c r="L36" s="16" t="s">
        <v>1826</v>
      </c>
      <c r="M36" s="16" t="s">
        <v>1917</v>
      </c>
      <c r="N36" s="16" t="s">
        <v>2002</v>
      </c>
      <c r="O36" s="16" t="s">
        <v>20917</v>
      </c>
      <c r="P36" s="16" t="s">
        <v>12461</v>
      </c>
      <c r="Q36" s="17" t="s">
        <v>22051</v>
      </c>
      <c r="R36" s="16" t="s">
        <v>13</v>
      </c>
      <c r="S36" s="16" t="s">
        <v>22043</v>
      </c>
      <c r="T36" s="16" t="s">
        <v>22052</v>
      </c>
      <c r="U36" s="17" t="s">
        <v>22044</v>
      </c>
      <c r="V36">
        <v>302</v>
      </c>
    </row>
    <row r="37" spans="1:22" x14ac:dyDescent="0.3">
      <c r="A37" s="15">
        <v>35</v>
      </c>
      <c r="B37" s="16" t="s">
        <v>22149</v>
      </c>
      <c r="C37" s="16" t="s">
        <v>22150</v>
      </c>
      <c r="D37" s="16" t="s">
        <v>22046</v>
      </c>
      <c r="E37" s="16" t="s">
        <v>22151</v>
      </c>
      <c r="I37" s="16" t="s">
        <v>369</v>
      </c>
      <c r="J37" s="17" t="s">
        <v>22051</v>
      </c>
      <c r="K37" s="16" t="s">
        <v>743</v>
      </c>
      <c r="L37" s="16" t="s">
        <v>1826</v>
      </c>
      <c r="M37" s="16" t="s">
        <v>1917</v>
      </c>
      <c r="N37" s="16" t="s">
        <v>2002</v>
      </c>
      <c r="O37" s="16" t="s">
        <v>20917</v>
      </c>
      <c r="P37" s="16" t="s">
        <v>12461</v>
      </c>
      <c r="Q37" s="17" t="s">
        <v>22051</v>
      </c>
      <c r="R37" s="16" t="s">
        <v>13</v>
      </c>
      <c r="S37" s="16" t="s">
        <v>22043</v>
      </c>
      <c r="T37" s="16" t="s">
        <v>22052</v>
      </c>
      <c r="U37" s="17" t="s">
        <v>22044</v>
      </c>
      <c r="V37">
        <v>302</v>
      </c>
    </row>
    <row r="38" spans="1:22" x14ac:dyDescent="0.3">
      <c r="A38" s="15">
        <v>36</v>
      </c>
      <c r="B38" s="16" t="s">
        <v>22152</v>
      </c>
      <c r="C38" s="16" t="s">
        <v>22153</v>
      </c>
      <c r="D38" s="16" t="s">
        <v>22046</v>
      </c>
      <c r="E38" s="16" t="s">
        <v>22154</v>
      </c>
      <c r="I38" s="16" t="s">
        <v>369</v>
      </c>
      <c r="J38" s="17" t="s">
        <v>22051</v>
      </c>
      <c r="K38" s="16" t="s">
        <v>743</v>
      </c>
      <c r="L38" s="16" t="s">
        <v>1826</v>
      </c>
      <c r="M38" s="16" t="s">
        <v>1917</v>
      </c>
      <c r="N38" s="16" t="s">
        <v>2002</v>
      </c>
      <c r="O38" s="16" t="s">
        <v>20917</v>
      </c>
      <c r="P38" s="16" t="s">
        <v>12461</v>
      </c>
      <c r="Q38" s="17" t="s">
        <v>22051</v>
      </c>
      <c r="R38" s="16" t="s">
        <v>13</v>
      </c>
      <c r="S38" s="16" t="s">
        <v>22043</v>
      </c>
      <c r="T38" s="16" t="s">
        <v>22052</v>
      </c>
      <c r="U38" s="17" t="s">
        <v>22044</v>
      </c>
      <c r="V38">
        <v>302</v>
      </c>
    </row>
    <row r="39" spans="1:22" x14ac:dyDescent="0.3">
      <c r="A39" s="15">
        <v>37</v>
      </c>
      <c r="B39" s="16" t="s">
        <v>22155</v>
      </c>
      <c r="C39" s="16" t="s">
        <v>22156</v>
      </c>
      <c r="D39" s="16" t="s">
        <v>22046</v>
      </c>
      <c r="E39" s="16" t="s">
        <v>22157</v>
      </c>
      <c r="I39" s="16" t="s">
        <v>369</v>
      </c>
      <c r="J39" s="17" t="s">
        <v>22051</v>
      </c>
      <c r="K39" s="16" t="s">
        <v>743</v>
      </c>
      <c r="L39" s="16" t="s">
        <v>1826</v>
      </c>
      <c r="M39" s="16" t="s">
        <v>1917</v>
      </c>
      <c r="N39" s="16" t="s">
        <v>2002</v>
      </c>
      <c r="O39" s="16" t="s">
        <v>20917</v>
      </c>
      <c r="P39" s="16" t="s">
        <v>12461</v>
      </c>
      <c r="Q39" s="17" t="s">
        <v>22051</v>
      </c>
      <c r="R39" s="16" t="s">
        <v>13</v>
      </c>
      <c r="S39" s="16" t="s">
        <v>22043</v>
      </c>
      <c r="T39" s="16" t="s">
        <v>22052</v>
      </c>
      <c r="U39" s="17" t="s">
        <v>22044</v>
      </c>
      <c r="V39">
        <v>303</v>
      </c>
    </row>
    <row r="40" spans="1:22" x14ac:dyDescent="0.3">
      <c r="A40" s="15">
        <v>38</v>
      </c>
      <c r="B40" s="16" t="s">
        <v>22158</v>
      </c>
      <c r="C40" s="16" t="s">
        <v>22159</v>
      </c>
      <c r="D40" s="16" t="s">
        <v>22045</v>
      </c>
      <c r="E40" s="16" t="s">
        <v>22160</v>
      </c>
      <c r="I40" s="16" t="s">
        <v>369</v>
      </c>
      <c r="J40" s="17" t="s">
        <v>22051</v>
      </c>
      <c r="K40" s="16" t="s">
        <v>743</v>
      </c>
      <c r="L40" s="16" t="s">
        <v>1826</v>
      </c>
      <c r="M40" s="16" t="s">
        <v>1917</v>
      </c>
      <c r="N40" s="16" t="s">
        <v>2002</v>
      </c>
      <c r="O40" s="16" t="s">
        <v>20917</v>
      </c>
      <c r="P40" s="16" t="s">
        <v>12461</v>
      </c>
      <c r="Q40" s="17" t="s">
        <v>22051</v>
      </c>
      <c r="R40" s="16" t="s">
        <v>13</v>
      </c>
      <c r="S40" s="16" t="s">
        <v>22043</v>
      </c>
      <c r="T40" s="16" t="s">
        <v>22052</v>
      </c>
      <c r="U40" s="17" t="s">
        <v>22044</v>
      </c>
      <c r="V40">
        <v>303</v>
      </c>
    </row>
    <row r="41" spans="1:22" x14ac:dyDescent="0.3">
      <c r="A41" s="15">
        <v>39</v>
      </c>
      <c r="B41" s="16" t="s">
        <v>22161</v>
      </c>
      <c r="C41" s="16" t="s">
        <v>22162</v>
      </c>
      <c r="D41" s="16" t="s">
        <v>22046</v>
      </c>
      <c r="E41" s="16" t="s">
        <v>22163</v>
      </c>
      <c r="I41" s="16" t="s">
        <v>369</v>
      </c>
      <c r="J41" s="17" t="s">
        <v>22051</v>
      </c>
      <c r="K41" s="16" t="s">
        <v>743</v>
      </c>
      <c r="L41" s="16" t="s">
        <v>1826</v>
      </c>
      <c r="M41" s="16" t="s">
        <v>1917</v>
      </c>
      <c r="N41" s="16" t="s">
        <v>2002</v>
      </c>
      <c r="O41" s="16" t="s">
        <v>20917</v>
      </c>
      <c r="P41" s="16" t="s">
        <v>12461</v>
      </c>
      <c r="Q41" s="17" t="s">
        <v>22051</v>
      </c>
      <c r="R41" s="16" t="s">
        <v>13</v>
      </c>
      <c r="S41" s="16" t="s">
        <v>22043</v>
      </c>
      <c r="T41" s="16" t="s">
        <v>22052</v>
      </c>
      <c r="U41" s="17" t="s">
        <v>22044</v>
      </c>
      <c r="V41">
        <v>303</v>
      </c>
    </row>
    <row r="42" spans="1:22" x14ac:dyDescent="0.3">
      <c r="A42" s="15">
        <v>40</v>
      </c>
      <c r="B42" s="16" t="s">
        <v>22164</v>
      </c>
      <c r="C42" s="16" t="s">
        <v>22165</v>
      </c>
      <c r="D42" s="16" t="s">
        <v>22045</v>
      </c>
      <c r="E42" s="16" t="s">
        <v>22166</v>
      </c>
      <c r="I42" s="16" t="s">
        <v>369</v>
      </c>
      <c r="J42" s="17" t="s">
        <v>22051</v>
      </c>
      <c r="K42" s="16" t="s">
        <v>743</v>
      </c>
      <c r="L42" s="16" t="s">
        <v>1826</v>
      </c>
      <c r="M42" s="16" t="s">
        <v>1917</v>
      </c>
      <c r="N42" s="16" t="s">
        <v>2002</v>
      </c>
      <c r="O42" s="16" t="s">
        <v>20917</v>
      </c>
      <c r="P42" s="16" t="s">
        <v>12461</v>
      </c>
      <c r="Q42" s="17" t="s">
        <v>22051</v>
      </c>
      <c r="R42" s="16" t="s">
        <v>13</v>
      </c>
      <c r="S42" s="16" t="s">
        <v>22043</v>
      </c>
      <c r="T42" s="16" t="s">
        <v>22052</v>
      </c>
      <c r="U42" s="17" t="s">
        <v>22044</v>
      </c>
      <c r="V42">
        <v>303</v>
      </c>
    </row>
    <row r="43" spans="1:22" x14ac:dyDescent="0.3">
      <c r="A43" s="15">
        <v>41</v>
      </c>
      <c r="B43" s="16" t="s">
        <v>22167</v>
      </c>
      <c r="C43" s="16" t="s">
        <v>22168</v>
      </c>
      <c r="D43" s="16" t="s">
        <v>22046</v>
      </c>
      <c r="E43" s="16" t="s">
        <v>22169</v>
      </c>
      <c r="I43" s="16" t="s">
        <v>369</v>
      </c>
      <c r="J43" s="17" t="s">
        <v>22051</v>
      </c>
      <c r="K43" s="16" t="s">
        <v>743</v>
      </c>
      <c r="L43" s="16" t="s">
        <v>1826</v>
      </c>
      <c r="M43" s="16" t="s">
        <v>1917</v>
      </c>
      <c r="N43" s="16" t="s">
        <v>2002</v>
      </c>
      <c r="O43" s="16" t="s">
        <v>20917</v>
      </c>
      <c r="P43" s="16" t="s">
        <v>12461</v>
      </c>
      <c r="Q43" s="17" t="s">
        <v>22051</v>
      </c>
      <c r="R43" s="16" t="s">
        <v>13</v>
      </c>
      <c r="S43" s="16" t="s">
        <v>22043</v>
      </c>
      <c r="T43" s="16" t="s">
        <v>22052</v>
      </c>
      <c r="U43" s="17" t="s">
        <v>22044</v>
      </c>
      <c r="V43">
        <v>304</v>
      </c>
    </row>
    <row r="44" spans="1:22" x14ac:dyDescent="0.3">
      <c r="A44" s="15">
        <v>42</v>
      </c>
      <c r="B44" s="16" t="s">
        <v>22170</v>
      </c>
      <c r="C44" s="16" t="s">
        <v>22171</v>
      </c>
      <c r="D44" s="16" t="s">
        <v>22045</v>
      </c>
      <c r="E44" s="16" t="s">
        <v>22172</v>
      </c>
      <c r="I44" s="16" t="s">
        <v>369</v>
      </c>
      <c r="J44" s="17" t="s">
        <v>22051</v>
      </c>
      <c r="K44" s="16" t="s">
        <v>743</v>
      </c>
      <c r="L44" s="16" t="s">
        <v>1826</v>
      </c>
      <c r="M44" s="16" t="s">
        <v>1917</v>
      </c>
      <c r="N44" s="16" t="s">
        <v>2002</v>
      </c>
      <c r="O44" s="16" t="s">
        <v>20917</v>
      </c>
      <c r="P44" s="16" t="s">
        <v>12461</v>
      </c>
      <c r="Q44" s="17" t="s">
        <v>22051</v>
      </c>
      <c r="R44" s="16" t="s">
        <v>13</v>
      </c>
      <c r="S44" s="16" t="s">
        <v>22043</v>
      </c>
      <c r="T44" s="16" t="s">
        <v>22052</v>
      </c>
      <c r="U44" s="17" t="s">
        <v>22044</v>
      </c>
      <c r="V44">
        <v>304</v>
      </c>
    </row>
    <row r="45" spans="1:22" x14ac:dyDescent="0.3">
      <c r="A45" s="15">
        <v>43</v>
      </c>
      <c r="B45" s="16" t="s">
        <v>22173</v>
      </c>
      <c r="C45" s="16" t="s">
        <v>22174</v>
      </c>
      <c r="D45" s="16" t="s">
        <v>22046</v>
      </c>
      <c r="E45" s="16" t="s">
        <v>22175</v>
      </c>
      <c r="I45" s="16" t="s">
        <v>369</v>
      </c>
      <c r="J45" s="17" t="s">
        <v>22051</v>
      </c>
      <c r="K45" s="16" t="s">
        <v>743</v>
      </c>
      <c r="L45" s="16" t="s">
        <v>1826</v>
      </c>
      <c r="M45" s="16" t="s">
        <v>1917</v>
      </c>
      <c r="N45" s="16" t="s">
        <v>2002</v>
      </c>
      <c r="O45" s="16" t="s">
        <v>20917</v>
      </c>
      <c r="P45" s="16" t="s">
        <v>12461</v>
      </c>
      <c r="Q45" s="17" t="s">
        <v>22051</v>
      </c>
      <c r="R45" s="16" t="s">
        <v>13</v>
      </c>
      <c r="S45" s="16" t="s">
        <v>22043</v>
      </c>
      <c r="T45" s="16" t="s">
        <v>22052</v>
      </c>
      <c r="U45" s="17" t="s">
        <v>22044</v>
      </c>
      <c r="V45">
        <v>304</v>
      </c>
    </row>
    <row r="46" spans="1:22" x14ac:dyDescent="0.3">
      <c r="A46" s="15">
        <v>44</v>
      </c>
      <c r="B46" s="16" t="s">
        <v>22176</v>
      </c>
      <c r="C46" s="16" t="s">
        <v>22177</v>
      </c>
      <c r="D46" s="16" t="s">
        <v>22046</v>
      </c>
      <c r="E46" s="16" t="s">
        <v>22178</v>
      </c>
      <c r="I46" s="16" t="s">
        <v>369</v>
      </c>
      <c r="J46" s="17" t="s">
        <v>22051</v>
      </c>
      <c r="K46" s="16" t="s">
        <v>743</v>
      </c>
      <c r="L46" s="16" t="s">
        <v>1826</v>
      </c>
      <c r="M46" s="16" t="s">
        <v>1917</v>
      </c>
      <c r="N46" s="16" t="s">
        <v>2002</v>
      </c>
      <c r="O46" s="16" t="s">
        <v>20917</v>
      </c>
      <c r="P46" s="16" t="s">
        <v>12461</v>
      </c>
      <c r="Q46" s="17" t="s">
        <v>22051</v>
      </c>
      <c r="R46" s="16" t="s">
        <v>13</v>
      </c>
      <c r="S46" s="16" t="s">
        <v>22043</v>
      </c>
      <c r="T46" s="16" t="s">
        <v>22052</v>
      </c>
      <c r="U46" s="17" t="s">
        <v>22044</v>
      </c>
      <c r="V46">
        <v>304</v>
      </c>
    </row>
    <row r="47" spans="1:22" x14ac:dyDescent="0.3">
      <c r="A47" s="15">
        <v>45</v>
      </c>
      <c r="B47" s="16" t="s">
        <v>22179</v>
      </c>
      <c r="C47" s="16" t="s">
        <v>22180</v>
      </c>
      <c r="D47" s="16" t="s">
        <v>22045</v>
      </c>
      <c r="E47" s="16" t="s">
        <v>22181</v>
      </c>
      <c r="I47" s="16" t="s">
        <v>369</v>
      </c>
      <c r="J47" s="17" t="s">
        <v>22051</v>
      </c>
      <c r="K47" s="16" t="s">
        <v>743</v>
      </c>
      <c r="L47" s="16" t="s">
        <v>1826</v>
      </c>
      <c r="M47" s="16" t="s">
        <v>1917</v>
      </c>
      <c r="N47" s="16" t="s">
        <v>2002</v>
      </c>
      <c r="O47" s="16" t="s">
        <v>20917</v>
      </c>
      <c r="P47" s="16" t="s">
        <v>12461</v>
      </c>
      <c r="Q47" s="17" t="s">
        <v>22051</v>
      </c>
      <c r="R47" s="16" t="s">
        <v>13</v>
      </c>
      <c r="S47" s="16" t="s">
        <v>22043</v>
      </c>
      <c r="T47" s="16" t="s">
        <v>22052</v>
      </c>
      <c r="U47" s="17" t="s">
        <v>22044</v>
      </c>
      <c r="V47">
        <v>305</v>
      </c>
    </row>
    <row r="48" spans="1:22" x14ac:dyDescent="0.3">
      <c r="A48" s="15">
        <v>46</v>
      </c>
      <c r="B48" s="16" t="s">
        <v>22182</v>
      </c>
      <c r="C48" s="16" t="s">
        <v>22183</v>
      </c>
      <c r="D48" s="16" t="s">
        <v>22046</v>
      </c>
      <c r="E48" s="16" t="s">
        <v>22184</v>
      </c>
      <c r="I48" s="16" t="s">
        <v>369</v>
      </c>
      <c r="J48" s="17" t="s">
        <v>22051</v>
      </c>
      <c r="K48" s="16" t="s">
        <v>743</v>
      </c>
      <c r="L48" s="16" t="s">
        <v>1826</v>
      </c>
      <c r="M48" s="16" t="s">
        <v>1917</v>
      </c>
      <c r="N48" s="16" t="s">
        <v>2002</v>
      </c>
      <c r="O48" s="16" t="s">
        <v>20917</v>
      </c>
      <c r="P48" s="16" t="s">
        <v>12461</v>
      </c>
      <c r="Q48" s="17" t="s">
        <v>22051</v>
      </c>
      <c r="R48" s="16" t="s">
        <v>13</v>
      </c>
      <c r="S48" s="16" t="s">
        <v>22043</v>
      </c>
      <c r="T48" s="16" t="s">
        <v>22052</v>
      </c>
      <c r="U48" s="17" t="s">
        <v>22044</v>
      </c>
      <c r="V48">
        <v>305</v>
      </c>
    </row>
    <row r="49" spans="1:22" x14ac:dyDescent="0.3">
      <c r="A49" s="15">
        <v>47</v>
      </c>
      <c r="B49" s="16" t="s">
        <v>22185</v>
      </c>
      <c r="C49" s="16" t="s">
        <v>22186</v>
      </c>
      <c r="D49" s="16" t="s">
        <v>22045</v>
      </c>
      <c r="E49" s="16" t="s">
        <v>22187</v>
      </c>
      <c r="I49" s="16" t="s">
        <v>369</v>
      </c>
      <c r="J49" s="17" t="s">
        <v>22051</v>
      </c>
      <c r="K49" s="16" t="s">
        <v>743</v>
      </c>
      <c r="L49" s="16" t="s">
        <v>1826</v>
      </c>
      <c r="M49" s="16" t="s">
        <v>1917</v>
      </c>
      <c r="N49" s="16" t="s">
        <v>2002</v>
      </c>
      <c r="O49" s="16" t="s">
        <v>20917</v>
      </c>
      <c r="P49" s="16" t="s">
        <v>12461</v>
      </c>
      <c r="Q49" s="17" t="s">
        <v>22051</v>
      </c>
      <c r="R49" s="16" t="s">
        <v>13</v>
      </c>
      <c r="S49" s="16" t="s">
        <v>22043</v>
      </c>
      <c r="T49" s="16" t="s">
        <v>22052</v>
      </c>
      <c r="U49" s="17" t="s">
        <v>22044</v>
      </c>
      <c r="V49">
        <v>305</v>
      </c>
    </row>
    <row r="50" spans="1:22" x14ac:dyDescent="0.3">
      <c r="A50" s="15">
        <v>48</v>
      </c>
      <c r="B50" s="16" t="s">
        <v>22188</v>
      </c>
      <c r="C50" s="16" t="s">
        <v>22189</v>
      </c>
      <c r="D50" s="16" t="s">
        <v>22045</v>
      </c>
      <c r="E50" s="16" t="s">
        <v>22190</v>
      </c>
      <c r="I50" s="16" t="s">
        <v>369</v>
      </c>
      <c r="J50" s="17" t="s">
        <v>22051</v>
      </c>
      <c r="K50" s="16" t="s">
        <v>743</v>
      </c>
      <c r="L50" s="16" t="s">
        <v>1826</v>
      </c>
      <c r="M50" s="16" t="s">
        <v>1917</v>
      </c>
      <c r="N50" s="16" t="s">
        <v>2002</v>
      </c>
      <c r="O50" s="16" t="s">
        <v>20917</v>
      </c>
      <c r="P50" s="16" t="s">
        <v>12461</v>
      </c>
      <c r="Q50" s="17" t="s">
        <v>22051</v>
      </c>
      <c r="R50" s="16" t="s">
        <v>13</v>
      </c>
      <c r="S50" s="16" t="s">
        <v>22043</v>
      </c>
      <c r="T50" s="16" t="s">
        <v>22052</v>
      </c>
      <c r="U50" s="17" t="s">
        <v>22044</v>
      </c>
      <c r="V50">
        <v>305</v>
      </c>
    </row>
    <row r="51" spans="1:22" x14ac:dyDescent="0.3">
      <c r="A51" s="15">
        <v>49</v>
      </c>
      <c r="B51" s="16" t="s">
        <v>22191</v>
      </c>
      <c r="C51" s="16" t="s">
        <v>22192</v>
      </c>
      <c r="D51" s="16" t="s">
        <v>22046</v>
      </c>
      <c r="E51" s="16" t="s">
        <v>22193</v>
      </c>
      <c r="I51" s="16" t="s">
        <v>369</v>
      </c>
      <c r="J51" s="17" t="s">
        <v>22051</v>
      </c>
      <c r="K51" s="16" t="s">
        <v>743</v>
      </c>
      <c r="L51" s="16" t="s">
        <v>1826</v>
      </c>
      <c r="M51" s="16" t="s">
        <v>1917</v>
      </c>
      <c r="N51" s="16" t="s">
        <v>2002</v>
      </c>
      <c r="O51" s="16" t="s">
        <v>20917</v>
      </c>
      <c r="P51" s="16" t="s">
        <v>12461</v>
      </c>
      <c r="Q51" s="17" t="s">
        <v>22051</v>
      </c>
      <c r="R51" s="16" t="s">
        <v>13</v>
      </c>
      <c r="S51" s="16" t="s">
        <v>22043</v>
      </c>
      <c r="T51" s="16" t="s">
        <v>22052</v>
      </c>
      <c r="U51" s="17" t="s">
        <v>22044</v>
      </c>
      <c r="V51">
        <v>306</v>
      </c>
    </row>
    <row r="52" spans="1:22" x14ac:dyDescent="0.3">
      <c r="A52" s="15">
        <v>50</v>
      </c>
      <c r="B52" s="16" t="s">
        <v>22194</v>
      </c>
      <c r="C52" s="16" t="s">
        <v>22195</v>
      </c>
      <c r="D52" s="16" t="s">
        <v>22046</v>
      </c>
      <c r="E52" s="16" t="s">
        <v>22196</v>
      </c>
      <c r="I52" s="16" t="s">
        <v>369</v>
      </c>
      <c r="J52" s="17" t="s">
        <v>22051</v>
      </c>
      <c r="K52" s="16" t="s">
        <v>743</v>
      </c>
      <c r="L52" s="16" t="s">
        <v>1826</v>
      </c>
      <c r="M52" s="16" t="s">
        <v>1917</v>
      </c>
      <c r="N52" s="16" t="s">
        <v>2002</v>
      </c>
      <c r="O52" s="16" t="s">
        <v>20917</v>
      </c>
      <c r="P52" s="16" t="s">
        <v>12461</v>
      </c>
      <c r="Q52" s="17" t="s">
        <v>22051</v>
      </c>
      <c r="R52" s="16" t="s">
        <v>13</v>
      </c>
      <c r="S52" s="16" t="s">
        <v>22043</v>
      </c>
      <c r="T52" s="16" t="s">
        <v>22052</v>
      </c>
      <c r="U52" s="17" t="s">
        <v>22044</v>
      </c>
      <c r="V52">
        <v>306</v>
      </c>
    </row>
    <row r="53" spans="1:22" x14ac:dyDescent="0.3">
      <c r="A53" s="15">
        <v>51</v>
      </c>
      <c r="B53" s="16" t="s">
        <v>22197</v>
      </c>
      <c r="C53" s="16" t="s">
        <v>22047</v>
      </c>
      <c r="D53" s="16" t="s">
        <v>22045</v>
      </c>
      <c r="E53" s="16" t="s">
        <v>22198</v>
      </c>
      <c r="I53" s="16" t="s">
        <v>369</v>
      </c>
      <c r="J53" s="17" t="s">
        <v>22051</v>
      </c>
      <c r="K53" s="16" t="s">
        <v>743</v>
      </c>
      <c r="L53" s="16" t="s">
        <v>1826</v>
      </c>
      <c r="M53" s="16" t="s">
        <v>1917</v>
      </c>
      <c r="N53" s="16" t="s">
        <v>2002</v>
      </c>
      <c r="O53" s="16" t="s">
        <v>20917</v>
      </c>
      <c r="P53" s="16" t="s">
        <v>12461</v>
      </c>
      <c r="Q53" s="17" t="s">
        <v>22051</v>
      </c>
      <c r="R53" s="16" t="s">
        <v>13</v>
      </c>
      <c r="S53" s="16" t="s">
        <v>22043</v>
      </c>
      <c r="T53" s="16" t="s">
        <v>22052</v>
      </c>
      <c r="U53" s="17" t="s">
        <v>22044</v>
      </c>
      <c r="V53">
        <v>306</v>
      </c>
    </row>
    <row r="54" spans="1:22" x14ac:dyDescent="0.3">
      <c r="A54" s="15">
        <v>52</v>
      </c>
      <c r="B54" s="16" t="s">
        <v>22199</v>
      </c>
      <c r="C54" s="16" t="s">
        <v>22200</v>
      </c>
      <c r="D54" s="16" t="s">
        <v>22046</v>
      </c>
      <c r="E54" s="16" t="s">
        <v>22201</v>
      </c>
      <c r="I54" s="16" t="s">
        <v>369</v>
      </c>
      <c r="J54" s="17" t="s">
        <v>22051</v>
      </c>
      <c r="K54" s="16" t="s">
        <v>743</v>
      </c>
      <c r="L54" s="16" t="s">
        <v>1826</v>
      </c>
      <c r="M54" s="16" t="s">
        <v>1917</v>
      </c>
      <c r="N54" s="16" t="s">
        <v>2002</v>
      </c>
      <c r="O54" s="16" t="s">
        <v>20917</v>
      </c>
      <c r="P54" s="16" t="s">
        <v>12461</v>
      </c>
      <c r="Q54" s="17" t="s">
        <v>22051</v>
      </c>
      <c r="R54" s="16" t="s">
        <v>13</v>
      </c>
      <c r="S54" s="16" t="s">
        <v>22043</v>
      </c>
      <c r="T54" s="16" t="s">
        <v>22052</v>
      </c>
      <c r="U54" s="17" t="s">
        <v>22044</v>
      </c>
      <c r="V54">
        <v>306</v>
      </c>
    </row>
    <row r="55" spans="1:22" x14ac:dyDescent="0.3">
      <c r="A55" s="15">
        <v>53</v>
      </c>
      <c r="B55" s="16" t="s">
        <v>22202</v>
      </c>
      <c r="C55" s="16" t="s">
        <v>22203</v>
      </c>
      <c r="D55" s="16" t="s">
        <v>22046</v>
      </c>
      <c r="E55" s="16" t="s">
        <v>22204</v>
      </c>
      <c r="I55" s="16" t="s">
        <v>369</v>
      </c>
      <c r="J55" s="17" t="s">
        <v>22051</v>
      </c>
      <c r="K55" s="16" t="s">
        <v>743</v>
      </c>
      <c r="L55" s="16" t="s">
        <v>1826</v>
      </c>
      <c r="M55" s="16" t="s">
        <v>1917</v>
      </c>
      <c r="N55" s="16" t="s">
        <v>2002</v>
      </c>
      <c r="O55" s="16" t="s">
        <v>20917</v>
      </c>
      <c r="P55" s="16" t="s">
        <v>12461</v>
      </c>
      <c r="Q55" s="17" t="s">
        <v>22051</v>
      </c>
      <c r="R55" s="16" t="s">
        <v>13</v>
      </c>
      <c r="S55" s="16" t="s">
        <v>22043</v>
      </c>
      <c r="T55" s="16" t="s">
        <v>22052</v>
      </c>
      <c r="U55" s="17" t="s">
        <v>22044</v>
      </c>
      <c r="V55">
        <v>307</v>
      </c>
    </row>
    <row r="56" spans="1:22" x14ac:dyDescent="0.3">
      <c r="A56" s="15">
        <v>54</v>
      </c>
      <c r="B56" s="16" t="s">
        <v>22205</v>
      </c>
      <c r="C56" s="16" t="s">
        <v>22206</v>
      </c>
      <c r="D56" s="16" t="s">
        <v>22045</v>
      </c>
      <c r="E56" s="16" t="s">
        <v>22207</v>
      </c>
      <c r="I56" s="16" t="s">
        <v>369</v>
      </c>
      <c r="J56" s="17" t="s">
        <v>22051</v>
      </c>
      <c r="K56" s="16" t="s">
        <v>743</v>
      </c>
      <c r="L56" s="16" t="s">
        <v>1826</v>
      </c>
      <c r="M56" s="16" t="s">
        <v>1917</v>
      </c>
      <c r="N56" s="16" t="s">
        <v>2002</v>
      </c>
      <c r="O56" s="16" t="s">
        <v>20917</v>
      </c>
      <c r="P56" s="16" t="s">
        <v>12461</v>
      </c>
      <c r="Q56" s="17" t="s">
        <v>22051</v>
      </c>
      <c r="R56" s="16" t="s">
        <v>13</v>
      </c>
      <c r="S56" s="16" t="s">
        <v>22043</v>
      </c>
      <c r="T56" s="16" t="s">
        <v>22052</v>
      </c>
      <c r="U56" s="17" t="s">
        <v>22044</v>
      </c>
      <c r="V56">
        <v>307</v>
      </c>
    </row>
    <row r="57" spans="1:22" x14ac:dyDescent="0.3">
      <c r="A57" s="15">
        <v>55</v>
      </c>
      <c r="B57" s="16" t="s">
        <v>22208</v>
      </c>
      <c r="C57" s="16" t="s">
        <v>22209</v>
      </c>
      <c r="D57" s="16" t="s">
        <v>22045</v>
      </c>
      <c r="E57" s="16" t="s">
        <v>22210</v>
      </c>
      <c r="I57" s="16" t="s">
        <v>369</v>
      </c>
      <c r="J57" s="17" t="s">
        <v>22051</v>
      </c>
      <c r="K57" s="16" t="s">
        <v>743</v>
      </c>
      <c r="L57" s="16" t="s">
        <v>1826</v>
      </c>
      <c r="M57" s="16" t="s">
        <v>1917</v>
      </c>
      <c r="N57" s="16" t="s">
        <v>2002</v>
      </c>
      <c r="O57" s="16" t="s">
        <v>20917</v>
      </c>
      <c r="P57" s="16" t="s">
        <v>12461</v>
      </c>
      <c r="Q57" s="17" t="s">
        <v>22051</v>
      </c>
      <c r="R57" s="16" t="s">
        <v>13</v>
      </c>
      <c r="S57" s="16" t="s">
        <v>22043</v>
      </c>
      <c r="T57" s="16" t="s">
        <v>22052</v>
      </c>
      <c r="U57" s="17" t="s">
        <v>22044</v>
      </c>
      <c r="V57">
        <v>307</v>
      </c>
    </row>
    <row r="58" spans="1:22" x14ac:dyDescent="0.3">
      <c r="A58" s="15">
        <v>56</v>
      </c>
      <c r="B58" s="16" t="s">
        <v>22211</v>
      </c>
      <c r="C58" s="16" t="s">
        <v>22212</v>
      </c>
      <c r="D58" s="16" t="s">
        <v>22046</v>
      </c>
      <c r="E58" s="16" t="s">
        <v>22213</v>
      </c>
      <c r="I58" s="16" t="s">
        <v>369</v>
      </c>
      <c r="J58" s="17" t="s">
        <v>22051</v>
      </c>
      <c r="K58" s="16" t="s">
        <v>743</v>
      </c>
      <c r="L58" s="16" t="s">
        <v>1826</v>
      </c>
      <c r="M58" s="16" t="s">
        <v>1917</v>
      </c>
      <c r="N58" s="16" t="s">
        <v>2002</v>
      </c>
      <c r="O58" s="16" t="s">
        <v>20917</v>
      </c>
      <c r="P58" s="16" t="s">
        <v>12461</v>
      </c>
      <c r="Q58" s="17" t="s">
        <v>22051</v>
      </c>
      <c r="R58" s="16" t="s">
        <v>13</v>
      </c>
      <c r="S58" s="16" t="s">
        <v>22043</v>
      </c>
      <c r="T58" s="16" t="s">
        <v>22052</v>
      </c>
      <c r="U58" s="17" t="s">
        <v>22044</v>
      </c>
      <c r="V58">
        <v>307</v>
      </c>
    </row>
    <row r="59" spans="1:22" x14ac:dyDescent="0.3">
      <c r="A59" s="15">
        <v>57</v>
      </c>
      <c r="B59" s="16" t="s">
        <v>22214</v>
      </c>
      <c r="C59" s="16" t="s">
        <v>22215</v>
      </c>
      <c r="D59" s="16" t="s">
        <v>22045</v>
      </c>
      <c r="E59" s="16" t="s">
        <v>22216</v>
      </c>
      <c r="I59" s="16" t="s">
        <v>369</v>
      </c>
      <c r="J59" s="17" t="s">
        <v>22051</v>
      </c>
      <c r="K59" s="16" t="s">
        <v>743</v>
      </c>
      <c r="L59" s="16" t="s">
        <v>1826</v>
      </c>
      <c r="M59" s="16" t="s">
        <v>1917</v>
      </c>
      <c r="N59" s="16" t="s">
        <v>2002</v>
      </c>
      <c r="O59" s="16" t="s">
        <v>20917</v>
      </c>
      <c r="P59" s="16" t="s">
        <v>12461</v>
      </c>
      <c r="Q59" s="17" t="s">
        <v>22051</v>
      </c>
      <c r="R59" s="16" t="s">
        <v>13</v>
      </c>
      <c r="S59" s="16" t="s">
        <v>22043</v>
      </c>
      <c r="T59" s="16" t="s">
        <v>22052</v>
      </c>
      <c r="U59" s="17" t="s">
        <v>22044</v>
      </c>
      <c r="V59">
        <v>401</v>
      </c>
    </row>
    <row r="60" spans="1:22" x14ac:dyDescent="0.3">
      <c r="A60" s="15">
        <v>58</v>
      </c>
      <c r="B60" s="16" t="s">
        <v>22217</v>
      </c>
      <c r="C60" s="16" t="s">
        <v>22218</v>
      </c>
      <c r="D60" s="16" t="s">
        <v>22045</v>
      </c>
      <c r="E60" s="16" t="s">
        <v>22219</v>
      </c>
      <c r="I60" s="16" t="s">
        <v>369</v>
      </c>
      <c r="J60" s="17" t="s">
        <v>22051</v>
      </c>
      <c r="K60" s="16" t="s">
        <v>743</v>
      </c>
      <c r="L60" s="16" t="s">
        <v>1826</v>
      </c>
      <c r="M60" s="16" t="s">
        <v>1917</v>
      </c>
      <c r="N60" s="16" t="s">
        <v>2002</v>
      </c>
      <c r="O60" s="16" t="s">
        <v>20917</v>
      </c>
      <c r="P60" s="16" t="s">
        <v>12461</v>
      </c>
      <c r="Q60" s="17" t="s">
        <v>22051</v>
      </c>
      <c r="R60" s="16" t="s">
        <v>13</v>
      </c>
      <c r="S60" s="16" t="s">
        <v>22043</v>
      </c>
      <c r="T60" s="16" t="s">
        <v>22052</v>
      </c>
      <c r="U60" s="17" t="s">
        <v>22044</v>
      </c>
      <c r="V60">
        <v>401</v>
      </c>
    </row>
    <row r="61" spans="1:22" x14ac:dyDescent="0.3">
      <c r="A61" s="15">
        <v>59</v>
      </c>
      <c r="B61" s="16" t="s">
        <v>22220</v>
      </c>
      <c r="C61" s="16" t="s">
        <v>22221</v>
      </c>
      <c r="D61" s="16" t="s">
        <v>22045</v>
      </c>
      <c r="E61" s="16" t="s">
        <v>22222</v>
      </c>
      <c r="I61" s="16" t="s">
        <v>369</v>
      </c>
      <c r="J61" s="17" t="s">
        <v>22051</v>
      </c>
      <c r="K61" s="16" t="s">
        <v>743</v>
      </c>
      <c r="L61" s="16" t="s">
        <v>1826</v>
      </c>
      <c r="M61" s="16" t="s">
        <v>1917</v>
      </c>
      <c r="N61" s="16" t="s">
        <v>2002</v>
      </c>
      <c r="O61" s="16" t="s">
        <v>20917</v>
      </c>
      <c r="P61" s="16" t="s">
        <v>12461</v>
      </c>
      <c r="Q61" s="17" t="s">
        <v>22051</v>
      </c>
      <c r="R61" s="16" t="s">
        <v>13</v>
      </c>
      <c r="S61" s="16" t="s">
        <v>22043</v>
      </c>
      <c r="T61" s="16" t="s">
        <v>22052</v>
      </c>
      <c r="U61" s="17" t="s">
        <v>22044</v>
      </c>
      <c r="V61">
        <v>401</v>
      </c>
    </row>
    <row r="62" spans="1:22" x14ac:dyDescent="0.3">
      <c r="A62" s="15">
        <v>60</v>
      </c>
      <c r="B62" s="16" t="s">
        <v>22223</v>
      </c>
      <c r="C62" s="16" t="s">
        <v>22224</v>
      </c>
      <c r="D62" s="16" t="s">
        <v>22046</v>
      </c>
      <c r="E62" s="16" t="s">
        <v>22225</v>
      </c>
      <c r="I62" s="16" t="s">
        <v>369</v>
      </c>
      <c r="J62" s="17" t="s">
        <v>22051</v>
      </c>
      <c r="K62" s="16" t="s">
        <v>743</v>
      </c>
      <c r="L62" s="16" t="s">
        <v>1826</v>
      </c>
      <c r="M62" s="16" t="s">
        <v>1917</v>
      </c>
      <c r="N62" s="16" t="s">
        <v>2002</v>
      </c>
      <c r="O62" s="16" t="s">
        <v>20917</v>
      </c>
      <c r="P62" s="16" t="s">
        <v>12461</v>
      </c>
      <c r="Q62" s="17" t="s">
        <v>22051</v>
      </c>
      <c r="R62" s="16" t="s">
        <v>13</v>
      </c>
      <c r="S62" s="16" t="s">
        <v>22043</v>
      </c>
      <c r="T62" s="16" t="s">
        <v>22052</v>
      </c>
      <c r="U62" s="17" t="s">
        <v>22044</v>
      </c>
      <c r="V62">
        <v>401</v>
      </c>
    </row>
    <row r="63" spans="1:22" x14ac:dyDescent="0.3">
      <c r="A63" s="15">
        <v>61</v>
      </c>
      <c r="B63" s="16" t="s">
        <v>22226</v>
      </c>
      <c r="C63" s="16" t="s">
        <v>22227</v>
      </c>
      <c r="D63" s="16" t="s">
        <v>22045</v>
      </c>
      <c r="E63" s="16" t="s">
        <v>22228</v>
      </c>
      <c r="I63" s="16" t="s">
        <v>369</v>
      </c>
      <c r="J63" s="17" t="s">
        <v>22051</v>
      </c>
      <c r="K63" s="16" t="s">
        <v>743</v>
      </c>
      <c r="L63" s="16" t="s">
        <v>1826</v>
      </c>
      <c r="M63" s="16" t="s">
        <v>1917</v>
      </c>
      <c r="N63" s="16" t="s">
        <v>2002</v>
      </c>
      <c r="O63" s="16" t="s">
        <v>20917</v>
      </c>
      <c r="P63" s="16" t="s">
        <v>12461</v>
      </c>
      <c r="Q63" s="17" t="s">
        <v>22051</v>
      </c>
      <c r="R63" s="16" t="s">
        <v>13</v>
      </c>
      <c r="S63" s="16" t="s">
        <v>22043</v>
      </c>
      <c r="T63" s="16" t="s">
        <v>22052</v>
      </c>
      <c r="U63" s="17" t="s">
        <v>22044</v>
      </c>
      <c r="V63">
        <v>402</v>
      </c>
    </row>
    <row r="64" spans="1:22" x14ac:dyDescent="0.3">
      <c r="A64" s="15">
        <v>62</v>
      </c>
      <c r="B64" s="16" t="s">
        <v>22229</v>
      </c>
      <c r="C64" s="16" t="s">
        <v>22230</v>
      </c>
      <c r="D64" s="16" t="s">
        <v>22046</v>
      </c>
      <c r="E64" s="16" t="s">
        <v>22231</v>
      </c>
      <c r="I64" s="16" t="s">
        <v>369</v>
      </c>
      <c r="J64" s="17" t="s">
        <v>22051</v>
      </c>
      <c r="K64" s="16" t="s">
        <v>743</v>
      </c>
      <c r="L64" s="16" t="s">
        <v>1826</v>
      </c>
      <c r="M64" s="16" t="s">
        <v>1917</v>
      </c>
      <c r="N64" s="16" t="s">
        <v>2002</v>
      </c>
      <c r="O64" s="16" t="s">
        <v>20917</v>
      </c>
      <c r="P64" s="16" t="s">
        <v>12461</v>
      </c>
      <c r="Q64" s="17" t="s">
        <v>22051</v>
      </c>
      <c r="R64" s="16" t="s">
        <v>13</v>
      </c>
      <c r="S64" s="16" t="s">
        <v>22043</v>
      </c>
      <c r="T64" s="16" t="s">
        <v>22052</v>
      </c>
      <c r="U64" s="17" t="s">
        <v>22044</v>
      </c>
      <c r="V64">
        <v>402</v>
      </c>
    </row>
    <row r="65" spans="1:22" x14ac:dyDescent="0.3">
      <c r="A65" s="15">
        <v>63</v>
      </c>
      <c r="B65" s="16" t="s">
        <v>22232</v>
      </c>
      <c r="C65" s="16" t="s">
        <v>22233</v>
      </c>
      <c r="D65" s="16" t="s">
        <v>22045</v>
      </c>
      <c r="E65" s="16" t="s">
        <v>22234</v>
      </c>
      <c r="I65" s="16" t="s">
        <v>369</v>
      </c>
      <c r="J65" s="17" t="s">
        <v>22051</v>
      </c>
      <c r="K65" s="16" t="s">
        <v>743</v>
      </c>
      <c r="L65" s="16" t="s">
        <v>1826</v>
      </c>
      <c r="M65" s="16" t="s">
        <v>1917</v>
      </c>
      <c r="N65" s="16" t="s">
        <v>2002</v>
      </c>
      <c r="O65" s="16" t="s">
        <v>20917</v>
      </c>
      <c r="P65" s="16" t="s">
        <v>12461</v>
      </c>
      <c r="Q65" s="17" t="s">
        <v>22051</v>
      </c>
      <c r="R65" s="16" t="s">
        <v>13</v>
      </c>
      <c r="S65" s="16" t="s">
        <v>22043</v>
      </c>
      <c r="T65" s="16" t="s">
        <v>22052</v>
      </c>
      <c r="U65" s="17" t="s">
        <v>22044</v>
      </c>
      <c r="V65">
        <v>402</v>
      </c>
    </row>
    <row r="66" spans="1:22" x14ac:dyDescent="0.3">
      <c r="A66" s="15">
        <v>64</v>
      </c>
      <c r="B66" s="16" t="s">
        <v>22235</v>
      </c>
      <c r="C66" s="16" t="s">
        <v>22236</v>
      </c>
      <c r="D66" s="16" t="s">
        <v>22045</v>
      </c>
      <c r="E66" s="16" t="s">
        <v>22237</v>
      </c>
      <c r="I66" s="16" t="s">
        <v>369</v>
      </c>
      <c r="J66" s="17" t="s">
        <v>22051</v>
      </c>
      <c r="K66" s="16" t="s">
        <v>743</v>
      </c>
      <c r="L66" s="16" t="s">
        <v>1826</v>
      </c>
      <c r="M66" s="16" t="s">
        <v>1917</v>
      </c>
      <c r="N66" s="16" t="s">
        <v>2002</v>
      </c>
      <c r="O66" s="16" t="s">
        <v>20917</v>
      </c>
      <c r="P66" s="16" t="s">
        <v>12461</v>
      </c>
      <c r="Q66" s="17" t="s">
        <v>22051</v>
      </c>
      <c r="R66" s="16" t="s">
        <v>13</v>
      </c>
      <c r="S66" s="16" t="s">
        <v>22043</v>
      </c>
      <c r="T66" s="16" t="s">
        <v>22052</v>
      </c>
      <c r="U66" s="17" t="s">
        <v>22044</v>
      </c>
      <c r="V66">
        <v>402</v>
      </c>
    </row>
    <row r="67" spans="1:22" x14ac:dyDescent="0.3">
      <c r="A67" s="15">
        <v>65</v>
      </c>
      <c r="B67" s="16" t="s">
        <v>22238</v>
      </c>
      <c r="C67" s="16" t="s">
        <v>22239</v>
      </c>
      <c r="D67" s="16" t="s">
        <v>22045</v>
      </c>
      <c r="E67" s="16" t="s">
        <v>22240</v>
      </c>
      <c r="I67" s="16" t="s">
        <v>369</v>
      </c>
      <c r="J67" s="17" t="s">
        <v>22051</v>
      </c>
      <c r="K67" s="16" t="s">
        <v>743</v>
      </c>
      <c r="L67" s="16" t="s">
        <v>1826</v>
      </c>
      <c r="M67" s="16" t="s">
        <v>1917</v>
      </c>
      <c r="N67" s="16" t="s">
        <v>2002</v>
      </c>
      <c r="O67" s="16" t="s">
        <v>20917</v>
      </c>
      <c r="P67" s="16" t="s">
        <v>12461</v>
      </c>
      <c r="Q67" s="17" t="s">
        <v>22051</v>
      </c>
      <c r="R67" s="16" t="s">
        <v>13</v>
      </c>
      <c r="S67" s="16" t="s">
        <v>22043</v>
      </c>
      <c r="T67" s="16" t="s">
        <v>22052</v>
      </c>
      <c r="U67" s="17" t="s">
        <v>22044</v>
      </c>
      <c r="V67">
        <v>403</v>
      </c>
    </row>
    <row r="68" spans="1:22" x14ac:dyDescent="0.3">
      <c r="A68" s="15">
        <v>66</v>
      </c>
      <c r="B68" s="16" t="s">
        <v>22241</v>
      </c>
      <c r="C68" s="16" t="s">
        <v>22242</v>
      </c>
      <c r="D68" s="16" t="s">
        <v>22046</v>
      </c>
      <c r="E68" s="16" t="s">
        <v>22243</v>
      </c>
      <c r="I68" s="16" t="s">
        <v>369</v>
      </c>
      <c r="J68" s="17" t="s">
        <v>22051</v>
      </c>
      <c r="K68" s="16" t="s">
        <v>743</v>
      </c>
      <c r="L68" s="16" t="s">
        <v>1826</v>
      </c>
      <c r="M68" s="16" t="s">
        <v>1917</v>
      </c>
      <c r="N68" s="16" t="s">
        <v>2002</v>
      </c>
      <c r="O68" s="16" t="s">
        <v>20917</v>
      </c>
      <c r="P68" s="16" t="s">
        <v>12461</v>
      </c>
      <c r="Q68" s="17" t="s">
        <v>22051</v>
      </c>
      <c r="R68" s="16" t="s">
        <v>13</v>
      </c>
      <c r="S68" s="16" t="s">
        <v>22043</v>
      </c>
      <c r="T68" s="16" t="s">
        <v>22052</v>
      </c>
      <c r="U68" s="17" t="s">
        <v>22044</v>
      </c>
      <c r="V68">
        <v>403</v>
      </c>
    </row>
    <row r="69" spans="1:22" x14ac:dyDescent="0.3">
      <c r="A69" s="15">
        <v>67</v>
      </c>
      <c r="B69" s="16" t="s">
        <v>22244</v>
      </c>
      <c r="C69" s="16" t="s">
        <v>22245</v>
      </c>
      <c r="D69" s="16" t="s">
        <v>22045</v>
      </c>
      <c r="E69" s="16" t="s">
        <v>22246</v>
      </c>
      <c r="I69" s="16" t="s">
        <v>369</v>
      </c>
      <c r="J69" s="17" t="s">
        <v>22051</v>
      </c>
      <c r="K69" s="16" t="s">
        <v>743</v>
      </c>
      <c r="L69" s="16" t="s">
        <v>1826</v>
      </c>
      <c r="M69" s="16" t="s">
        <v>1917</v>
      </c>
      <c r="N69" s="16" t="s">
        <v>2002</v>
      </c>
      <c r="O69" s="16" t="s">
        <v>20917</v>
      </c>
      <c r="P69" s="16" t="s">
        <v>12461</v>
      </c>
      <c r="Q69" s="17" t="s">
        <v>22051</v>
      </c>
      <c r="R69" s="16" t="s">
        <v>13</v>
      </c>
      <c r="S69" s="16" t="s">
        <v>22043</v>
      </c>
      <c r="T69" s="16" t="s">
        <v>22052</v>
      </c>
      <c r="U69" s="17" t="s">
        <v>22044</v>
      </c>
      <c r="V69">
        <v>403</v>
      </c>
    </row>
    <row r="70" spans="1:22" x14ac:dyDescent="0.3">
      <c r="A70" s="15">
        <v>68</v>
      </c>
      <c r="B70" s="16" t="s">
        <v>22247</v>
      </c>
      <c r="C70" s="16" t="s">
        <v>22248</v>
      </c>
      <c r="D70" s="16" t="s">
        <v>22045</v>
      </c>
      <c r="E70" s="16" t="s">
        <v>22249</v>
      </c>
      <c r="I70" s="16" t="s">
        <v>369</v>
      </c>
      <c r="J70" s="17" t="s">
        <v>22051</v>
      </c>
      <c r="K70" s="16" t="s">
        <v>743</v>
      </c>
      <c r="L70" s="16" t="s">
        <v>1826</v>
      </c>
      <c r="M70" s="16" t="s">
        <v>1917</v>
      </c>
      <c r="N70" s="16" t="s">
        <v>2002</v>
      </c>
      <c r="O70" s="16" t="s">
        <v>20917</v>
      </c>
      <c r="P70" s="16" t="s">
        <v>12461</v>
      </c>
      <c r="Q70" s="17" t="s">
        <v>22051</v>
      </c>
      <c r="R70" s="16" t="s">
        <v>13</v>
      </c>
      <c r="S70" s="16" t="s">
        <v>22043</v>
      </c>
      <c r="T70" s="16" t="s">
        <v>22052</v>
      </c>
      <c r="U70" s="17" t="s">
        <v>22044</v>
      </c>
      <c r="V70">
        <v>403</v>
      </c>
    </row>
    <row r="71" spans="1:22" x14ac:dyDescent="0.3">
      <c r="A71" s="15">
        <v>69</v>
      </c>
      <c r="B71" s="16" t="s">
        <v>22250</v>
      </c>
      <c r="C71" s="16" t="s">
        <v>22251</v>
      </c>
      <c r="D71" s="16" t="s">
        <v>22046</v>
      </c>
      <c r="E71" s="16" t="s">
        <v>22252</v>
      </c>
      <c r="I71" s="16" t="s">
        <v>369</v>
      </c>
      <c r="J71" s="17" t="s">
        <v>22051</v>
      </c>
      <c r="K71" s="16" t="s">
        <v>743</v>
      </c>
      <c r="L71" s="16" t="s">
        <v>1826</v>
      </c>
      <c r="M71" s="16" t="s">
        <v>1917</v>
      </c>
      <c r="N71" s="16" t="s">
        <v>2002</v>
      </c>
      <c r="O71" s="16" t="s">
        <v>20917</v>
      </c>
      <c r="P71" s="16" t="s">
        <v>12461</v>
      </c>
      <c r="Q71" s="17" t="s">
        <v>22051</v>
      </c>
      <c r="R71" s="16" t="s">
        <v>13</v>
      </c>
      <c r="S71" s="16" t="s">
        <v>22043</v>
      </c>
      <c r="T71" s="16" t="s">
        <v>22052</v>
      </c>
      <c r="U71" s="17" t="s">
        <v>22044</v>
      </c>
      <c r="V71">
        <v>404</v>
      </c>
    </row>
    <row r="72" spans="1:22" x14ac:dyDescent="0.3">
      <c r="A72" s="15">
        <v>70</v>
      </c>
      <c r="B72" s="16" t="s">
        <v>22253</v>
      </c>
      <c r="C72" s="16" t="s">
        <v>22254</v>
      </c>
      <c r="D72" s="16" t="s">
        <v>22046</v>
      </c>
      <c r="E72" s="16" t="s">
        <v>22255</v>
      </c>
      <c r="I72" s="16" t="s">
        <v>369</v>
      </c>
      <c r="J72" s="17" t="s">
        <v>22051</v>
      </c>
      <c r="K72" s="16" t="s">
        <v>743</v>
      </c>
      <c r="L72" s="16" t="s">
        <v>1826</v>
      </c>
      <c r="M72" s="16" t="s">
        <v>1917</v>
      </c>
      <c r="N72" s="16" t="s">
        <v>2002</v>
      </c>
      <c r="O72" s="16" t="s">
        <v>20917</v>
      </c>
      <c r="P72" s="16" t="s">
        <v>12461</v>
      </c>
      <c r="Q72" s="17" t="s">
        <v>22051</v>
      </c>
      <c r="R72" s="16" t="s">
        <v>13</v>
      </c>
      <c r="S72" s="16" t="s">
        <v>22043</v>
      </c>
      <c r="T72" s="16" t="s">
        <v>22052</v>
      </c>
      <c r="U72" s="17" t="s">
        <v>22044</v>
      </c>
      <c r="V72">
        <v>404</v>
      </c>
    </row>
    <row r="73" spans="1:22" x14ac:dyDescent="0.3">
      <c r="A73" s="15">
        <v>71</v>
      </c>
      <c r="B73" s="16" t="s">
        <v>22256</v>
      </c>
      <c r="C73" s="16" t="s">
        <v>22257</v>
      </c>
      <c r="D73" s="16" t="s">
        <v>22045</v>
      </c>
      <c r="E73" s="16" t="s">
        <v>22258</v>
      </c>
      <c r="I73" s="16" t="s">
        <v>369</v>
      </c>
      <c r="J73" s="17" t="s">
        <v>22051</v>
      </c>
      <c r="K73" s="16" t="s">
        <v>743</v>
      </c>
      <c r="L73" s="16" t="s">
        <v>1826</v>
      </c>
      <c r="M73" s="16" t="s">
        <v>1917</v>
      </c>
      <c r="N73" s="16" t="s">
        <v>2002</v>
      </c>
      <c r="O73" s="16" t="s">
        <v>20917</v>
      </c>
      <c r="P73" s="16" t="s">
        <v>12461</v>
      </c>
      <c r="Q73" s="17" t="s">
        <v>22051</v>
      </c>
      <c r="R73" s="16" t="s">
        <v>13</v>
      </c>
      <c r="S73" s="16" t="s">
        <v>22043</v>
      </c>
      <c r="T73" s="16" t="s">
        <v>22052</v>
      </c>
      <c r="U73" s="17" t="s">
        <v>22044</v>
      </c>
      <c r="V73">
        <v>404</v>
      </c>
    </row>
    <row r="74" spans="1:22" x14ac:dyDescent="0.3">
      <c r="A74" s="15">
        <v>72</v>
      </c>
      <c r="B74" s="16" t="s">
        <v>22259</v>
      </c>
      <c r="C74" s="16" t="s">
        <v>22260</v>
      </c>
      <c r="D74" s="16" t="s">
        <v>22046</v>
      </c>
      <c r="E74" s="16" t="s">
        <v>22261</v>
      </c>
      <c r="I74" s="16" t="s">
        <v>369</v>
      </c>
      <c r="J74" s="17" t="s">
        <v>22051</v>
      </c>
      <c r="K74" s="16" t="s">
        <v>743</v>
      </c>
      <c r="L74" s="16" t="s">
        <v>1826</v>
      </c>
      <c r="M74" s="16" t="s">
        <v>1917</v>
      </c>
      <c r="N74" s="16" t="s">
        <v>2002</v>
      </c>
      <c r="O74" s="16" t="s">
        <v>20917</v>
      </c>
      <c r="P74" s="16" t="s">
        <v>12461</v>
      </c>
      <c r="Q74" s="17" t="s">
        <v>22051</v>
      </c>
      <c r="R74" s="16" t="s">
        <v>13</v>
      </c>
      <c r="S74" s="16" t="s">
        <v>22043</v>
      </c>
      <c r="T74" s="16" t="s">
        <v>22052</v>
      </c>
      <c r="U74" s="17" t="s">
        <v>22044</v>
      </c>
      <c r="V74">
        <v>404</v>
      </c>
    </row>
    <row r="75" spans="1:22" x14ac:dyDescent="0.3">
      <c r="A75" s="15">
        <v>73</v>
      </c>
      <c r="B75" s="16" t="s">
        <v>22262</v>
      </c>
      <c r="C75" s="16" t="s">
        <v>22263</v>
      </c>
      <c r="D75" s="16" t="s">
        <v>22046</v>
      </c>
      <c r="E75" s="16" t="s">
        <v>22264</v>
      </c>
      <c r="I75" s="16" t="s">
        <v>369</v>
      </c>
      <c r="J75" s="17" t="s">
        <v>22051</v>
      </c>
      <c r="K75" s="16" t="s">
        <v>743</v>
      </c>
      <c r="L75" s="16" t="s">
        <v>1826</v>
      </c>
      <c r="M75" s="16" t="s">
        <v>1917</v>
      </c>
      <c r="N75" s="16" t="s">
        <v>2002</v>
      </c>
      <c r="O75" s="16" t="s">
        <v>20917</v>
      </c>
      <c r="P75" s="16" t="s">
        <v>12461</v>
      </c>
      <c r="Q75" s="17" t="s">
        <v>22051</v>
      </c>
      <c r="R75" s="16" t="s">
        <v>13</v>
      </c>
      <c r="S75" s="16" t="s">
        <v>22043</v>
      </c>
      <c r="T75" s="16" t="s">
        <v>22052</v>
      </c>
      <c r="U75" s="17" t="s">
        <v>22044</v>
      </c>
      <c r="V75">
        <v>405</v>
      </c>
    </row>
    <row r="76" spans="1:22" x14ac:dyDescent="0.3">
      <c r="A76" s="15">
        <v>74</v>
      </c>
      <c r="B76" s="16" t="s">
        <v>22265</v>
      </c>
      <c r="C76" s="16" t="s">
        <v>22266</v>
      </c>
      <c r="D76" s="16" t="s">
        <v>22045</v>
      </c>
      <c r="E76" s="16" t="s">
        <v>22267</v>
      </c>
      <c r="I76" s="16" t="s">
        <v>369</v>
      </c>
      <c r="J76" s="17" t="s">
        <v>22051</v>
      </c>
      <c r="K76" s="16" t="s">
        <v>743</v>
      </c>
      <c r="L76" s="16" t="s">
        <v>1826</v>
      </c>
      <c r="M76" s="16" t="s">
        <v>1917</v>
      </c>
      <c r="N76" s="16" t="s">
        <v>2002</v>
      </c>
      <c r="O76" s="16" t="s">
        <v>20917</v>
      </c>
      <c r="P76" s="16" t="s">
        <v>12461</v>
      </c>
      <c r="Q76" s="17" t="s">
        <v>22051</v>
      </c>
      <c r="R76" s="16" t="s">
        <v>13</v>
      </c>
      <c r="S76" s="16" t="s">
        <v>22043</v>
      </c>
      <c r="T76" s="16" t="s">
        <v>22052</v>
      </c>
      <c r="U76" s="17" t="s">
        <v>22044</v>
      </c>
      <c r="V76">
        <v>405</v>
      </c>
    </row>
    <row r="77" spans="1:22" x14ac:dyDescent="0.3">
      <c r="A77" s="15">
        <v>75</v>
      </c>
      <c r="B77" s="16" t="s">
        <v>22268</v>
      </c>
      <c r="C77" s="16" t="s">
        <v>22269</v>
      </c>
      <c r="D77" s="16" t="s">
        <v>22046</v>
      </c>
      <c r="E77" s="16" t="s">
        <v>22270</v>
      </c>
      <c r="I77" s="16" t="s">
        <v>369</v>
      </c>
      <c r="J77" s="17" t="s">
        <v>22051</v>
      </c>
      <c r="K77" s="16" t="s">
        <v>743</v>
      </c>
      <c r="L77" s="16" t="s">
        <v>1826</v>
      </c>
      <c r="M77" s="16" t="s">
        <v>1917</v>
      </c>
      <c r="N77" s="16" t="s">
        <v>2002</v>
      </c>
      <c r="O77" s="16" t="s">
        <v>20917</v>
      </c>
      <c r="P77" s="16" t="s">
        <v>12461</v>
      </c>
      <c r="Q77" s="17" t="s">
        <v>22051</v>
      </c>
      <c r="R77" s="16" t="s">
        <v>13</v>
      </c>
      <c r="S77" s="16" t="s">
        <v>22043</v>
      </c>
      <c r="T77" s="16" t="s">
        <v>22052</v>
      </c>
      <c r="U77" s="17" t="s">
        <v>22044</v>
      </c>
      <c r="V77">
        <v>405</v>
      </c>
    </row>
    <row r="78" spans="1:22" x14ac:dyDescent="0.3">
      <c r="A78" s="15">
        <v>76</v>
      </c>
      <c r="B78" s="16" t="s">
        <v>22271</v>
      </c>
      <c r="C78" s="16" t="s">
        <v>22272</v>
      </c>
      <c r="D78" s="16" t="s">
        <v>22046</v>
      </c>
      <c r="E78" s="16" t="s">
        <v>22273</v>
      </c>
      <c r="I78" s="16" t="s">
        <v>369</v>
      </c>
      <c r="J78" s="17" t="s">
        <v>22051</v>
      </c>
      <c r="K78" s="16" t="s">
        <v>743</v>
      </c>
      <c r="L78" s="16" t="s">
        <v>1826</v>
      </c>
      <c r="M78" s="16" t="s">
        <v>1917</v>
      </c>
      <c r="N78" s="16" t="s">
        <v>2002</v>
      </c>
      <c r="O78" s="16" t="s">
        <v>20917</v>
      </c>
      <c r="P78" s="16" t="s">
        <v>12461</v>
      </c>
      <c r="Q78" s="17" t="s">
        <v>22051</v>
      </c>
      <c r="R78" s="16" t="s">
        <v>13</v>
      </c>
      <c r="S78" s="16" t="s">
        <v>22043</v>
      </c>
      <c r="T78" s="16" t="s">
        <v>22052</v>
      </c>
      <c r="U78" s="17" t="s">
        <v>22044</v>
      </c>
      <c r="V78">
        <v>405</v>
      </c>
    </row>
    <row r="79" spans="1:22" x14ac:dyDescent="0.3">
      <c r="A79" s="15">
        <v>77</v>
      </c>
      <c r="B79" s="16" t="s">
        <v>22274</v>
      </c>
      <c r="C79" s="16" t="s">
        <v>22275</v>
      </c>
      <c r="D79" s="16" t="s">
        <v>22046</v>
      </c>
      <c r="E79" s="16" t="s">
        <v>22276</v>
      </c>
      <c r="I79" s="16" t="s">
        <v>369</v>
      </c>
      <c r="J79" s="17" t="s">
        <v>22051</v>
      </c>
      <c r="K79" s="16" t="s">
        <v>743</v>
      </c>
      <c r="L79" s="16" t="s">
        <v>1826</v>
      </c>
      <c r="M79" s="16" t="s">
        <v>1917</v>
      </c>
      <c r="N79" s="16" t="s">
        <v>2002</v>
      </c>
      <c r="O79" s="16" t="s">
        <v>20917</v>
      </c>
      <c r="P79" s="16" t="s">
        <v>12461</v>
      </c>
      <c r="Q79" s="17" t="s">
        <v>22051</v>
      </c>
      <c r="R79" s="16" t="s">
        <v>13</v>
      </c>
      <c r="S79" s="16" t="s">
        <v>22043</v>
      </c>
      <c r="T79" s="16" t="s">
        <v>22052</v>
      </c>
      <c r="U79" s="17" t="s">
        <v>22044</v>
      </c>
      <c r="V79">
        <v>406</v>
      </c>
    </row>
    <row r="80" spans="1:22" x14ac:dyDescent="0.3">
      <c r="A80" s="15">
        <v>78</v>
      </c>
      <c r="B80" s="16" t="s">
        <v>22277</v>
      </c>
      <c r="C80" s="16" t="s">
        <v>22278</v>
      </c>
      <c r="D80" s="16" t="s">
        <v>22045</v>
      </c>
      <c r="E80" s="16" t="s">
        <v>22279</v>
      </c>
      <c r="I80" s="16" t="s">
        <v>369</v>
      </c>
      <c r="J80" s="17" t="s">
        <v>22051</v>
      </c>
      <c r="K80" s="16" t="s">
        <v>743</v>
      </c>
      <c r="L80" s="16" t="s">
        <v>1826</v>
      </c>
      <c r="M80" s="16" t="s">
        <v>1917</v>
      </c>
      <c r="N80" s="16" t="s">
        <v>2002</v>
      </c>
      <c r="O80" s="16" t="s">
        <v>20917</v>
      </c>
      <c r="P80" s="16" t="s">
        <v>12461</v>
      </c>
      <c r="Q80" s="17" t="s">
        <v>22051</v>
      </c>
      <c r="R80" s="16" t="s">
        <v>13</v>
      </c>
      <c r="S80" s="16" t="s">
        <v>22043</v>
      </c>
      <c r="T80" s="16" t="s">
        <v>22052</v>
      </c>
      <c r="U80" s="17" t="s">
        <v>22044</v>
      </c>
      <c r="V80">
        <v>406</v>
      </c>
    </row>
    <row r="81" spans="1:22" x14ac:dyDescent="0.3">
      <c r="A81" s="15">
        <v>79</v>
      </c>
      <c r="B81" s="16" t="s">
        <v>22280</v>
      </c>
      <c r="C81" s="16" t="s">
        <v>22281</v>
      </c>
      <c r="D81" s="16" t="s">
        <v>22046</v>
      </c>
      <c r="E81" s="16" t="s">
        <v>22282</v>
      </c>
      <c r="I81" s="16" t="s">
        <v>369</v>
      </c>
      <c r="J81" s="17" t="s">
        <v>22051</v>
      </c>
      <c r="K81" s="16" t="s">
        <v>743</v>
      </c>
      <c r="L81" s="16" t="s">
        <v>1826</v>
      </c>
      <c r="M81" s="16" t="s">
        <v>1917</v>
      </c>
      <c r="N81" s="16" t="s">
        <v>2002</v>
      </c>
      <c r="O81" s="16" t="s">
        <v>20917</v>
      </c>
      <c r="P81" s="16" t="s">
        <v>12461</v>
      </c>
      <c r="Q81" s="17" t="s">
        <v>22051</v>
      </c>
      <c r="R81" s="16" t="s">
        <v>13</v>
      </c>
      <c r="S81" s="16" t="s">
        <v>22043</v>
      </c>
      <c r="T81" s="16" t="s">
        <v>22052</v>
      </c>
      <c r="U81" s="17" t="s">
        <v>22044</v>
      </c>
      <c r="V81">
        <v>406</v>
      </c>
    </row>
    <row r="82" spans="1:22" x14ac:dyDescent="0.3">
      <c r="A82" s="15">
        <v>80</v>
      </c>
      <c r="B82" s="16" t="s">
        <v>22283</v>
      </c>
      <c r="C82" s="16" t="s">
        <v>22284</v>
      </c>
      <c r="D82" s="16" t="s">
        <v>22045</v>
      </c>
      <c r="E82" s="16" t="s">
        <v>22285</v>
      </c>
      <c r="I82" s="16" t="s">
        <v>369</v>
      </c>
      <c r="J82" s="17" t="s">
        <v>22051</v>
      </c>
      <c r="K82" s="16" t="s">
        <v>743</v>
      </c>
      <c r="L82" s="16" t="s">
        <v>1826</v>
      </c>
      <c r="M82" s="16" t="s">
        <v>1917</v>
      </c>
      <c r="N82" s="16" t="s">
        <v>2002</v>
      </c>
      <c r="O82" s="16" t="s">
        <v>20917</v>
      </c>
      <c r="P82" s="16" t="s">
        <v>12461</v>
      </c>
      <c r="Q82" s="17" t="s">
        <v>22051</v>
      </c>
      <c r="R82" s="16" t="s">
        <v>13</v>
      </c>
      <c r="S82" s="16" t="s">
        <v>22043</v>
      </c>
      <c r="T82" s="16" t="s">
        <v>22052</v>
      </c>
      <c r="U82" s="17" t="s">
        <v>22044</v>
      </c>
      <c r="V82">
        <v>406</v>
      </c>
    </row>
    <row r="83" spans="1:22" x14ac:dyDescent="0.3">
      <c r="A83" s="15">
        <v>81</v>
      </c>
      <c r="B83" s="16" t="s">
        <v>22286</v>
      </c>
      <c r="C83" s="16" t="s">
        <v>22287</v>
      </c>
      <c r="D83" s="16" t="s">
        <v>22045</v>
      </c>
      <c r="E83" s="16" t="s">
        <v>22288</v>
      </c>
      <c r="I83" s="16" t="s">
        <v>369</v>
      </c>
      <c r="J83" s="17" t="s">
        <v>22051</v>
      </c>
      <c r="K83" s="16" t="s">
        <v>743</v>
      </c>
      <c r="L83" s="16" t="s">
        <v>1826</v>
      </c>
      <c r="M83" s="16" t="s">
        <v>1917</v>
      </c>
      <c r="N83" s="16" t="s">
        <v>2002</v>
      </c>
      <c r="O83" s="16" t="s">
        <v>20917</v>
      </c>
      <c r="P83" s="16" t="s">
        <v>12461</v>
      </c>
      <c r="Q83" s="17" t="s">
        <v>22051</v>
      </c>
      <c r="R83" s="16" t="s">
        <v>13</v>
      </c>
      <c r="S83" s="16" t="s">
        <v>22043</v>
      </c>
      <c r="T83" s="16" t="s">
        <v>22052</v>
      </c>
      <c r="U83" s="17" t="s">
        <v>22044</v>
      </c>
      <c r="V83">
        <v>407</v>
      </c>
    </row>
    <row r="84" spans="1:22" x14ac:dyDescent="0.3">
      <c r="A84" s="15">
        <v>82</v>
      </c>
      <c r="B84" s="16" t="s">
        <v>22289</v>
      </c>
      <c r="C84" s="16" t="s">
        <v>22290</v>
      </c>
      <c r="D84" s="16" t="s">
        <v>22045</v>
      </c>
      <c r="E84" s="16" t="s">
        <v>22291</v>
      </c>
      <c r="I84" s="16" t="s">
        <v>369</v>
      </c>
      <c r="J84" s="17" t="s">
        <v>22051</v>
      </c>
      <c r="K84" s="16" t="s">
        <v>743</v>
      </c>
      <c r="L84" s="16" t="s">
        <v>1826</v>
      </c>
      <c r="M84" s="16" t="s">
        <v>1917</v>
      </c>
      <c r="N84" s="16" t="s">
        <v>2002</v>
      </c>
      <c r="O84" s="16" t="s">
        <v>20917</v>
      </c>
      <c r="P84" s="16" t="s">
        <v>12461</v>
      </c>
      <c r="Q84" s="17" t="s">
        <v>22051</v>
      </c>
      <c r="R84" s="16" t="s">
        <v>13</v>
      </c>
      <c r="S84" s="16" t="s">
        <v>22043</v>
      </c>
      <c r="T84" s="16" t="s">
        <v>22052</v>
      </c>
      <c r="U84" s="17" t="s">
        <v>22044</v>
      </c>
      <c r="V84">
        <v>407</v>
      </c>
    </row>
    <row r="85" spans="1:22" x14ac:dyDescent="0.3">
      <c r="A85" s="15">
        <v>83</v>
      </c>
      <c r="B85" s="16" t="s">
        <v>22292</v>
      </c>
      <c r="C85" s="16" t="s">
        <v>22293</v>
      </c>
      <c r="D85" s="16" t="s">
        <v>22046</v>
      </c>
      <c r="E85" s="16" t="s">
        <v>22294</v>
      </c>
      <c r="I85" s="16" t="s">
        <v>369</v>
      </c>
      <c r="J85" s="17" t="s">
        <v>22051</v>
      </c>
      <c r="K85" s="16" t="s">
        <v>743</v>
      </c>
      <c r="L85" s="16" t="s">
        <v>1826</v>
      </c>
      <c r="M85" s="16" t="s">
        <v>1917</v>
      </c>
      <c r="N85" s="16" t="s">
        <v>2002</v>
      </c>
      <c r="O85" s="16" t="s">
        <v>20917</v>
      </c>
      <c r="P85" s="16" t="s">
        <v>12461</v>
      </c>
      <c r="Q85" s="17" t="s">
        <v>22051</v>
      </c>
      <c r="R85" s="16" t="s">
        <v>13</v>
      </c>
      <c r="S85" s="16" t="s">
        <v>22043</v>
      </c>
      <c r="T85" s="16" t="s">
        <v>22052</v>
      </c>
      <c r="U85" s="17" t="s">
        <v>22044</v>
      </c>
      <c r="V85">
        <v>407</v>
      </c>
    </row>
    <row r="86" spans="1:22" x14ac:dyDescent="0.3">
      <c r="A86" s="15">
        <v>84</v>
      </c>
      <c r="B86" s="16" t="s">
        <v>22295</v>
      </c>
      <c r="C86" s="16" t="s">
        <v>22296</v>
      </c>
      <c r="D86" s="16" t="s">
        <v>22045</v>
      </c>
      <c r="E86" s="16" t="s">
        <v>22297</v>
      </c>
      <c r="I86" s="16" t="s">
        <v>369</v>
      </c>
      <c r="J86" s="17" t="s">
        <v>22051</v>
      </c>
      <c r="K86" s="16" t="s">
        <v>743</v>
      </c>
      <c r="L86" s="16" t="s">
        <v>1826</v>
      </c>
      <c r="M86" s="16" t="s">
        <v>1917</v>
      </c>
      <c r="N86" s="16" t="s">
        <v>2002</v>
      </c>
      <c r="O86" s="16" t="s">
        <v>20917</v>
      </c>
      <c r="P86" s="16" t="s">
        <v>12461</v>
      </c>
      <c r="Q86" s="17" t="s">
        <v>22051</v>
      </c>
      <c r="R86" s="16" t="s">
        <v>13</v>
      </c>
      <c r="S86" s="16" t="s">
        <v>22043</v>
      </c>
      <c r="T86" s="16" t="s">
        <v>22052</v>
      </c>
      <c r="U86" s="17" t="s">
        <v>22044</v>
      </c>
      <c r="V86">
        <v>407</v>
      </c>
    </row>
    <row r="87" spans="1:22" x14ac:dyDescent="0.3">
      <c r="A87" s="15">
        <v>85</v>
      </c>
      <c r="B87" s="16" t="s">
        <v>22298</v>
      </c>
      <c r="C87" s="16" t="s">
        <v>22299</v>
      </c>
      <c r="D87" s="16" t="s">
        <v>22046</v>
      </c>
      <c r="E87" s="16" t="s">
        <v>22300</v>
      </c>
      <c r="I87" s="16" t="s">
        <v>369</v>
      </c>
      <c r="J87" s="17" t="s">
        <v>22051</v>
      </c>
      <c r="K87" s="16" t="s">
        <v>743</v>
      </c>
      <c r="L87" s="16" t="s">
        <v>1826</v>
      </c>
      <c r="M87" s="16" t="s">
        <v>1917</v>
      </c>
      <c r="N87" s="16" t="s">
        <v>2002</v>
      </c>
      <c r="O87" s="16" t="s">
        <v>20917</v>
      </c>
      <c r="P87" s="16" t="s">
        <v>12461</v>
      </c>
      <c r="Q87" s="17" t="s">
        <v>22051</v>
      </c>
      <c r="R87" s="16" t="s">
        <v>13</v>
      </c>
      <c r="S87" s="16" t="s">
        <v>22043</v>
      </c>
      <c r="T87" s="16" t="s">
        <v>22052</v>
      </c>
      <c r="U87" s="17" t="s">
        <v>22044</v>
      </c>
      <c r="V87">
        <v>501</v>
      </c>
    </row>
    <row r="88" spans="1:22" x14ac:dyDescent="0.3">
      <c r="A88" s="15">
        <v>86</v>
      </c>
      <c r="B88" s="16" t="s">
        <v>22301</v>
      </c>
      <c r="C88" s="16" t="s">
        <v>22302</v>
      </c>
      <c r="D88" s="16" t="s">
        <v>22046</v>
      </c>
      <c r="E88" s="16" t="s">
        <v>22303</v>
      </c>
      <c r="I88" s="16" t="s">
        <v>369</v>
      </c>
      <c r="J88" s="17" t="s">
        <v>22051</v>
      </c>
      <c r="K88" s="16" t="s">
        <v>743</v>
      </c>
      <c r="L88" s="16" t="s">
        <v>1826</v>
      </c>
      <c r="M88" s="16" t="s">
        <v>1917</v>
      </c>
      <c r="N88" s="16" t="s">
        <v>2002</v>
      </c>
      <c r="O88" s="16" t="s">
        <v>20917</v>
      </c>
      <c r="P88" s="16" t="s">
        <v>12461</v>
      </c>
      <c r="Q88" s="17" t="s">
        <v>22051</v>
      </c>
      <c r="R88" s="16" t="s">
        <v>13</v>
      </c>
      <c r="S88" s="16" t="s">
        <v>22043</v>
      </c>
      <c r="T88" s="16" t="s">
        <v>22052</v>
      </c>
      <c r="U88" s="17" t="s">
        <v>22044</v>
      </c>
      <c r="V88">
        <v>501</v>
      </c>
    </row>
    <row r="89" spans="1:22" x14ac:dyDescent="0.3">
      <c r="A89" s="15">
        <v>87</v>
      </c>
      <c r="B89" s="16" t="s">
        <v>22304</v>
      </c>
      <c r="C89" s="16" t="s">
        <v>22305</v>
      </c>
      <c r="D89" s="16" t="s">
        <v>22046</v>
      </c>
      <c r="E89" s="16" t="s">
        <v>22306</v>
      </c>
      <c r="I89" s="16" t="s">
        <v>369</v>
      </c>
      <c r="J89" s="17" t="s">
        <v>22051</v>
      </c>
      <c r="K89" s="16" t="s">
        <v>743</v>
      </c>
      <c r="L89" s="16" t="s">
        <v>1826</v>
      </c>
      <c r="M89" s="16" t="s">
        <v>1917</v>
      </c>
      <c r="N89" s="16" t="s">
        <v>2002</v>
      </c>
      <c r="O89" s="16" t="s">
        <v>20917</v>
      </c>
      <c r="P89" s="16" t="s">
        <v>12461</v>
      </c>
      <c r="Q89" s="17" t="s">
        <v>22051</v>
      </c>
      <c r="R89" s="16" t="s">
        <v>13</v>
      </c>
      <c r="S89" s="16" t="s">
        <v>22043</v>
      </c>
      <c r="T89" s="16" t="s">
        <v>22052</v>
      </c>
      <c r="U89" s="17" t="s">
        <v>22044</v>
      </c>
      <c r="V89">
        <v>501</v>
      </c>
    </row>
    <row r="90" spans="1:22" x14ac:dyDescent="0.3">
      <c r="A90" s="15">
        <v>88</v>
      </c>
      <c r="B90" s="16" t="s">
        <v>22307</v>
      </c>
      <c r="C90" s="16" t="s">
        <v>22308</v>
      </c>
      <c r="D90" s="16" t="s">
        <v>22045</v>
      </c>
      <c r="E90" s="16" t="s">
        <v>22309</v>
      </c>
      <c r="I90" s="16" t="s">
        <v>369</v>
      </c>
      <c r="J90" s="17" t="s">
        <v>22051</v>
      </c>
      <c r="K90" s="16" t="s">
        <v>743</v>
      </c>
      <c r="L90" s="16" t="s">
        <v>1826</v>
      </c>
      <c r="M90" s="16" t="s">
        <v>1917</v>
      </c>
      <c r="N90" s="16" t="s">
        <v>2002</v>
      </c>
      <c r="O90" s="16" t="s">
        <v>20917</v>
      </c>
      <c r="P90" s="16" t="s">
        <v>12461</v>
      </c>
      <c r="Q90" s="17" t="s">
        <v>22051</v>
      </c>
      <c r="R90" s="16" t="s">
        <v>13</v>
      </c>
      <c r="S90" s="16" t="s">
        <v>22043</v>
      </c>
      <c r="T90" s="16" t="s">
        <v>22052</v>
      </c>
      <c r="U90" s="17" t="s">
        <v>22044</v>
      </c>
      <c r="V90">
        <v>501</v>
      </c>
    </row>
    <row r="91" spans="1:22" x14ac:dyDescent="0.3">
      <c r="A91" s="15">
        <v>89</v>
      </c>
    </row>
    <row r="92" spans="1:22" x14ac:dyDescent="0.3">
      <c r="A92" s="15">
        <v>90</v>
      </c>
    </row>
    <row r="93" spans="1:22" x14ac:dyDescent="0.3">
      <c r="A93" s="15">
        <v>91</v>
      </c>
    </row>
    <row r="94" spans="1:22" x14ac:dyDescent="0.3">
      <c r="A94" s="15">
        <v>92</v>
      </c>
    </row>
    <row r="95" spans="1:22" x14ac:dyDescent="0.3">
      <c r="A95" s="15">
        <v>93</v>
      </c>
    </row>
    <row r="96" spans="1:22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formatCells="0" formatColumns="0"/>
  <mergeCells count="1">
    <mergeCell ref="E2:G2"/>
  </mergeCells>
  <dataValidations count="8">
    <dataValidation type="list" allowBlank="1" showInputMessage="1" showErrorMessage="1" sqref="O2:P2">
      <formula1>DsTinhThanh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Đào Xuân Hùng</v>
      </c>
      <c r="B1" s="18" t="str">
        <f>DanhsachNguoiluutru!C3</f>
        <v>06/10/1987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019807008198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Tân Khánh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36</v>
      </c>
      <c r="S1" s="18" t="str">
        <f ca="1">INDEX(OFFSET(QuanHuyen!$C$1,MATCH(extracted!$R1,QuanHuyen!$A:$A,0)-1,0,10000,1),MATCH(DanhsachNguoiluutru!$O3,OFFSET(QuanHuyen!$B$1,MATCH(extracted!$R1,QuanHuyen!$A:$A,0)-1,0,10000,1), 0))</f>
        <v>359</v>
      </c>
      <c r="T1" s="18" t="str">
        <f ca="1">INDEX(OFFSET(PhuongXa!$C$1,MATCH(extracted!$S1,PhuongXa!$A:$A,0)-1,0,10000,1),MATCH(DanhsachNguoiluutru!$P3,OFFSET(PhuongXa!$B$1,MATCH(extracted!$S1,PhuongXa!$A:$A,0)-1,0,10000,1), 0))</f>
        <v>13750</v>
      </c>
      <c r="U1" s="18" t="str">
        <f>DanhsachNguoiluutru!Q3</f>
        <v>Tân Khánh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Tân Khánh, Xã Tân Khánh, Huyện Vụ Bản, Tỉnh Nam Định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07/07/2023</v>
      </c>
      <c r="Z1" s="18" t="str">
        <f>DanhsachNguoiluutru!T3</f>
        <v>09/07/2023</v>
      </c>
      <c r="AA1" s="18" t="str">
        <f>DanhsachNguoiluutru!U3</f>
        <v>Du Lịch</v>
      </c>
      <c r="AB1" s="18">
        <f>DanhsachNguoiluutru!V3</f>
        <v>201</v>
      </c>
    </row>
    <row r="2" spans="1:28" x14ac:dyDescent="0.3">
      <c r="A2" s="18" t="str">
        <f>DanhsachNguoiluutru!B4</f>
        <v>Trương Thảo Lan</v>
      </c>
      <c r="B2" s="18" t="str">
        <f>DanhsachNguoiluutru!C4</f>
        <v>07/03/1979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019179597445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Tân Khánh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36</v>
      </c>
      <c r="S2" s="18" t="str">
        <f ca="1">INDEX(OFFSET(QuanHuyen!$C$1,MATCH(extracted!$R2,QuanHuyen!$A:$A,0)-1,0,10000,1),MATCH(DanhsachNguoiluutru!$O4,OFFSET(QuanHuyen!$B$1,MATCH(extracted!$R2,QuanHuyen!$A:$A,0)-1,0,10000,1), 0))</f>
        <v>359</v>
      </c>
      <c r="T2" s="18" t="str">
        <f ca="1">INDEX(OFFSET(PhuongXa!$C$1,MATCH(extracted!$S2,PhuongXa!$A:$A,0)-1,0,10000,1),MATCH(DanhsachNguoiluutru!$P4,OFFSET(PhuongXa!$B$1,MATCH(extracted!$S2,PhuongXa!$A:$A,0)-1,0,10000,1), 0))</f>
        <v>13750</v>
      </c>
      <c r="U2" s="18" t="str">
        <f>DanhsachNguoiluutru!Q4</f>
        <v>Tân Khánh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Tân Khánh, Xã Tân Khánh, Huyện Vụ Bản, Tỉnh Nam Định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07/07/2023</v>
      </c>
      <c r="Z2" s="18" t="str">
        <f>DanhsachNguoiluutru!T4</f>
        <v>09/07/2023</v>
      </c>
      <c r="AA2" s="18" t="str">
        <f>DanhsachNguoiluutru!U4</f>
        <v>Du Lịch</v>
      </c>
      <c r="AB2" s="18">
        <f>DanhsachNguoiluutru!V4</f>
        <v>201</v>
      </c>
    </row>
    <row r="3" spans="1:28" x14ac:dyDescent="0.3">
      <c r="A3" s="18" t="str">
        <f>DanhsachNguoiluutru!B5</f>
        <v>Đỗ Thu My</v>
      </c>
      <c r="B3" s="18" t="str">
        <f>DanhsachNguoiluutru!C5</f>
        <v>08/05/1983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019183378291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Tân Khánh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36</v>
      </c>
      <c r="S3" s="18" t="str">
        <f ca="1">INDEX(OFFSET(QuanHuyen!$C$1,MATCH(extracted!$R3,QuanHuyen!$A:$A,0)-1,0,10000,1),MATCH(DanhsachNguoiluutru!$O5,OFFSET(QuanHuyen!$B$1,MATCH(extracted!$R3,QuanHuyen!$A:$A,0)-1,0,10000,1), 0))</f>
        <v>359</v>
      </c>
      <c r="T3" s="18" t="str">
        <f ca="1">INDEX(OFFSET(PhuongXa!$C$1,MATCH(extracted!$S3,PhuongXa!$A:$A,0)-1,0,10000,1),MATCH(DanhsachNguoiluutru!$P5,OFFSET(PhuongXa!$B$1,MATCH(extracted!$S3,PhuongXa!$A:$A,0)-1,0,10000,1), 0))</f>
        <v>13750</v>
      </c>
      <c r="U3" s="18" t="str">
        <f>DanhsachNguoiluutru!Q5</f>
        <v>Tân Khánh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Tân Khánh, Xã Tân Khánh, Huyện Vụ Bản, Tỉnh Nam Định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07/07/2023</v>
      </c>
      <c r="Z3" s="18" t="str">
        <f>DanhsachNguoiluutru!T5</f>
        <v>09/07/2023</v>
      </c>
      <c r="AA3" s="18" t="str">
        <f>DanhsachNguoiluutru!U5</f>
        <v>Du Lịch</v>
      </c>
      <c r="AB3" s="18">
        <f>DanhsachNguoiluutru!V5</f>
        <v>201</v>
      </c>
    </row>
    <row r="4" spans="1:28" x14ac:dyDescent="0.3">
      <c r="A4" s="18" t="str">
        <f>DanhsachNguoiluutru!B6</f>
        <v>Đỗ Thị Ngọc</v>
      </c>
      <c r="B4" s="18" t="str">
        <f>DanhsachNguoiluutru!C6</f>
        <v>03/02/1995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019195100871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Tân Khánh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36</v>
      </c>
      <c r="S4" s="18" t="str">
        <f ca="1">INDEX(OFFSET(QuanHuyen!$C$1,MATCH(extracted!$R4,QuanHuyen!$A:$A,0)-1,0,10000,1),MATCH(DanhsachNguoiluutru!$O6,OFFSET(QuanHuyen!$B$1,MATCH(extracted!$R4,QuanHuyen!$A:$A,0)-1,0,10000,1), 0))</f>
        <v>359</v>
      </c>
      <c r="T4" s="18" t="str">
        <f ca="1">INDEX(OFFSET(PhuongXa!$C$1,MATCH(extracted!$S4,PhuongXa!$A:$A,0)-1,0,10000,1),MATCH(DanhsachNguoiluutru!$P6,OFFSET(PhuongXa!$B$1,MATCH(extracted!$S4,PhuongXa!$A:$A,0)-1,0,10000,1), 0))</f>
        <v>13750</v>
      </c>
      <c r="U4" s="18" t="str">
        <f>DanhsachNguoiluutru!Q6</f>
        <v>Tân Khánh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Tân Khánh, Xã Tân Khánh, Huyện Vụ Bản, Tỉnh Nam Định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07/07/2023</v>
      </c>
      <c r="Z4" s="18" t="str">
        <f>DanhsachNguoiluutru!T6</f>
        <v>09/07/2023</v>
      </c>
      <c r="AA4" s="18" t="str">
        <f>DanhsachNguoiluutru!U6</f>
        <v>Du Lịch</v>
      </c>
      <c r="AB4" s="18">
        <f>DanhsachNguoiluutru!V6</f>
        <v>201</v>
      </c>
    </row>
    <row r="5" spans="1:28" x14ac:dyDescent="0.3">
      <c r="A5" s="18" t="str">
        <f>DanhsachNguoiluutru!B7</f>
        <v>Đỗ Huy Hưng</v>
      </c>
      <c r="B5" s="18" t="str">
        <f>DanhsachNguoiluutru!C7</f>
        <v>11/10/1985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019085524773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Tân Khánh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36</v>
      </c>
      <c r="S5" s="18" t="str">
        <f ca="1">INDEX(OFFSET(QuanHuyen!$C$1,MATCH(extracted!$R5,QuanHuyen!$A:$A,0)-1,0,10000,1),MATCH(DanhsachNguoiluutru!$O7,OFFSET(QuanHuyen!$B$1,MATCH(extracted!$R5,QuanHuyen!$A:$A,0)-1,0,10000,1), 0))</f>
        <v>359</v>
      </c>
      <c r="T5" s="18" t="str">
        <f ca="1">INDEX(OFFSET(PhuongXa!$C$1,MATCH(extracted!$S5,PhuongXa!$A:$A,0)-1,0,10000,1),MATCH(DanhsachNguoiluutru!$P7,OFFSET(PhuongXa!$B$1,MATCH(extracted!$S5,PhuongXa!$A:$A,0)-1,0,10000,1), 0))</f>
        <v>13750</v>
      </c>
      <c r="U5" s="18" t="str">
        <f>DanhsachNguoiluutru!Q7</f>
        <v>Tân Khánh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Tân Khánh, Xã Tân Khánh, Huyện Vụ Bản, Tỉnh Nam Định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07/07/2023</v>
      </c>
      <c r="Z5" s="18" t="str">
        <f>DanhsachNguoiluutru!T7</f>
        <v>09/07/2023</v>
      </c>
      <c r="AA5" s="18" t="str">
        <f>DanhsachNguoiluutru!U7</f>
        <v>Du Lịch</v>
      </c>
      <c r="AB5" s="18">
        <f>DanhsachNguoiluutru!V7</f>
        <v>202</v>
      </c>
    </row>
    <row r="6" spans="1:28" x14ac:dyDescent="0.3">
      <c r="A6" s="18" t="str">
        <f>DanhsachNguoiluutru!B8</f>
        <v>Ngô Kiên Cường</v>
      </c>
      <c r="B6" s="18" t="str">
        <f>DanhsachNguoiluutru!C8</f>
        <v>28/12/1982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019082681269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Tân Khánh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36</v>
      </c>
      <c r="S6" s="18" t="str">
        <f ca="1">INDEX(OFFSET(QuanHuyen!$C$1,MATCH(extracted!$R6,QuanHuyen!$A:$A,0)-1,0,10000,1),MATCH(DanhsachNguoiluutru!$O8,OFFSET(QuanHuyen!$B$1,MATCH(extracted!$R6,QuanHuyen!$A:$A,0)-1,0,10000,1), 0))</f>
        <v>359</v>
      </c>
      <c r="T6" s="18" t="str">
        <f ca="1">INDEX(OFFSET(PhuongXa!$C$1,MATCH(extracted!$S6,PhuongXa!$A:$A,0)-1,0,10000,1),MATCH(DanhsachNguoiluutru!$P8,OFFSET(PhuongXa!$B$1,MATCH(extracted!$S6,PhuongXa!$A:$A,0)-1,0,10000,1), 0))</f>
        <v>13750</v>
      </c>
      <c r="U6" s="18" t="str">
        <f>DanhsachNguoiluutru!Q8</f>
        <v>Tân Khánh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Tân Khánh, Xã Tân Khánh, Huyện Vụ Bản, Tỉnh Nam Định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07/07/2023</v>
      </c>
      <c r="Z6" s="18" t="str">
        <f>DanhsachNguoiluutru!T8</f>
        <v>09/07/2023</v>
      </c>
      <c r="AA6" s="18" t="str">
        <f>DanhsachNguoiluutru!U8</f>
        <v>Du Lịch</v>
      </c>
      <c r="AB6" s="18">
        <f>DanhsachNguoiluutru!V8</f>
        <v>202</v>
      </c>
    </row>
    <row r="7" spans="1:28" x14ac:dyDescent="0.3">
      <c r="A7" s="18" t="str">
        <f>DanhsachNguoiluutru!B9</f>
        <v>Phạm Thị Nhi</v>
      </c>
      <c r="B7" s="18" t="str">
        <f>DanhsachNguoiluutru!C9</f>
        <v>17/02/1992</v>
      </c>
      <c r="C7" s="18" t="str">
        <f>INDEX(GioiTinh!$A:$A,MATCH(DanhsachNguoiluutru!D9,GioiTinh!$B:$B,0))</f>
        <v>3</v>
      </c>
      <c r="D7" s="18" t="str">
        <f>DanhsachNguoiluutru!D9</f>
        <v>Giới tính Nữ</v>
      </c>
      <c r="E7" s="18" t="str">
        <f>DanhsachNguoiluutru!E9</f>
        <v>019192087186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Tân Khánh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36</v>
      </c>
      <c r="S7" s="18" t="str">
        <f ca="1">INDEX(OFFSET(QuanHuyen!$C$1,MATCH(extracted!$R7,QuanHuyen!$A:$A,0)-1,0,10000,1),MATCH(DanhsachNguoiluutru!$O9,OFFSET(QuanHuyen!$B$1,MATCH(extracted!$R7,QuanHuyen!$A:$A,0)-1,0,10000,1), 0))</f>
        <v>359</v>
      </c>
      <c r="T7" s="18" t="str">
        <f ca="1">INDEX(OFFSET(PhuongXa!$C$1,MATCH(extracted!$S7,PhuongXa!$A:$A,0)-1,0,10000,1),MATCH(DanhsachNguoiluutru!$P9,OFFSET(PhuongXa!$B$1,MATCH(extracted!$S7,PhuongXa!$A:$A,0)-1,0,10000,1), 0))</f>
        <v>13750</v>
      </c>
      <c r="U7" s="18" t="str">
        <f>DanhsachNguoiluutru!Q9</f>
        <v>Tân Khánh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Tân Khánh, Xã Tân Khánh, Huyện Vụ Bản, Tỉnh Nam Định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07/07/2023</v>
      </c>
      <c r="Z7" s="18" t="str">
        <f>DanhsachNguoiluutru!T9</f>
        <v>09/07/2023</v>
      </c>
      <c r="AA7" s="18" t="str">
        <f>DanhsachNguoiluutru!U9</f>
        <v>Du Lịch</v>
      </c>
      <c r="AB7" s="18">
        <f>DanhsachNguoiluutru!V9</f>
        <v>202</v>
      </c>
    </row>
    <row r="8" spans="1:28" x14ac:dyDescent="0.3">
      <c r="A8" s="18" t="str">
        <f>DanhsachNguoiluutru!B10</f>
        <v>Phan Huy Dương</v>
      </c>
      <c r="B8" s="18" t="str">
        <f>DanhsachNguoiluutru!C10</f>
        <v>10/06/1985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019085226693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Tân Khánh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36</v>
      </c>
      <c r="S8" s="18" t="str">
        <f ca="1">INDEX(OFFSET(QuanHuyen!$C$1,MATCH(extracted!$R8,QuanHuyen!$A:$A,0)-1,0,10000,1),MATCH(DanhsachNguoiluutru!$O10,OFFSET(QuanHuyen!$B$1,MATCH(extracted!$R8,QuanHuyen!$A:$A,0)-1,0,10000,1), 0))</f>
        <v>359</v>
      </c>
      <c r="T8" s="18" t="str">
        <f ca="1">INDEX(OFFSET(PhuongXa!$C$1,MATCH(extracted!$S8,PhuongXa!$A:$A,0)-1,0,10000,1),MATCH(DanhsachNguoiluutru!$P10,OFFSET(PhuongXa!$B$1,MATCH(extracted!$S8,PhuongXa!$A:$A,0)-1,0,10000,1), 0))</f>
        <v>13750</v>
      </c>
      <c r="U8" s="18" t="str">
        <f>DanhsachNguoiluutru!Q10</f>
        <v>Tân Khánh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Tân Khánh, Xã Tân Khánh, Huyện Vụ Bản, Tỉnh Nam Định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07/07/2023</v>
      </c>
      <c r="Z8" s="18" t="str">
        <f>DanhsachNguoiluutru!T10</f>
        <v>09/07/2023</v>
      </c>
      <c r="AA8" s="18" t="str">
        <f>DanhsachNguoiluutru!U10</f>
        <v>Du Lịch</v>
      </c>
      <c r="AB8" s="18">
        <f>DanhsachNguoiluutru!V10</f>
        <v>202</v>
      </c>
    </row>
    <row r="9" spans="1:28" x14ac:dyDescent="0.3">
      <c r="A9" s="18" t="str">
        <f>DanhsachNguoiluutru!B11</f>
        <v>Ngô Thảo Bích</v>
      </c>
      <c r="B9" s="18" t="str">
        <f>DanhsachNguoiluutru!C11</f>
        <v>24/09/1981</v>
      </c>
      <c r="C9" s="18" t="str">
        <f>INDEX(GioiTinh!$A:$A,MATCH(DanhsachNguoiluutru!D11,GioiTinh!$B:$B,0))</f>
        <v>3</v>
      </c>
      <c r="D9" s="18" t="str">
        <f>DanhsachNguoiluutru!D11</f>
        <v>Giới tính Nữ</v>
      </c>
      <c r="E9" s="18" t="str">
        <f>DanhsachNguoiluutru!E11</f>
        <v>019181731053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Tân Khánh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36</v>
      </c>
      <c r="S9" s="18" t="str">
        <f ca="1">INDEX(OFFSET(QuanHuyen!$C$1,MATCH(extracted!$R9,QuanHuyen!$A:$A,0)-1,0,10000,1),MATCH(DanhsachNguoiluutru!$O11,OFFSET(QuanHuyen!$B$1,MATCH(extracted!$R9,QuanHuyen!$A:$A,0)-1,0,10000,1), 0))</f>
        <v>359</v>
      </c>
      <c r="T9" s="18" t="str">
        <f ca="1">INDEX(OFFSET(PhuongXa!$C$1,MATCH(extracted!$S9,PhuongXa!$A:$A,0)-1,0,10000,1),MATCH(DanhsachNguoiluutru!$P11,OFFSET(PhuongXa!$B$1,MATCH(extracted!$S9,PhuongXa!$A:$A,0)-1,0,10000,1), 0))</f>
        <v>13750</v>
      </c>
      <c r="U9" s="18" t="str">
        <f>DanhsachNguoiluutru!Q11</f>
        <v>Tân Khánh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Tân Khánh, Xã Tân Khánh, Huyện Vụ Bản, Tỉnh Nam Định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07/07/2023</v>
      </c>
      <c r="Z9" s="18" t="str">
        <f>DanhsachNguoiluutru!T11</f>
        <v>09/07/2023</v>
      </c>
      <c r="AA9" s="18" t="str">
        <f>DanhsachNguoiluutru!U11</f>
        <v>Du Lịch</v>
      </c>
      <c r="AB9" s="18">
        <f>DanhsachNguoiluutru!V11</f>
        <v>203</v>
      </c>
    </row>
    <row r="10" spans="1:28" x14ac:dyDescent="0.3">
      <c r="A10" s="18" t="str">
        <f>DanhsachNguoiluutru!B12</f>
        <v>Trịnh Nhật Quân</v>
      </c>
      <c r="B10" s="18" t="str">
        <f>DanhsachNguoiluutru!C12</f>
        <v>04/12/1993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019093300653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Tân Khánh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36</v>
      </c>
      <c r="S10" s="18" t="str">
        <f ca="1">INDEX(OFFSET(QuanHuyen!$C$1,MATCH(extracted!$R10,QuanHuyen!$A:$A,0)-1,0,10000,1),MATCH(DanhsachNguoiluutru!$O12,OFFSET(QuanHuyen!$B$1,MATCH(extracted!$R10,QuanHuyen!$A:$A,0)-1,0,10000,1), 0))</f>
        <v>359</v>
      </c>
      <c r="T10" s="18" t="str">
        <f ca="1">INDEX(OFFSET(PhuongXa!$C$1,MATCH(extracted!$S10,PhuongXa!$A:$A,0)-1,0,10000,1),MATCH(DanhsachNguoiluutru!$P12,OFFSET(PhuongXa!$B$1,MATCH(extracted!$S10,PhuongXa!$A:$A,0)-1,0,10000,1), 0))</f>
        <v>13750</v>
      </c>
      <c r="U10" s="18" t="str">
        <f>DanhsachNguoiluutru!Q12</f>
        <v>Tân Khánh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Tân Khánh, Xã Tân Khánh, Huyện Vụ Bản, Tỉnh Nam Định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07/07/2023</v>
      </c>
      <c r="Z10" s="18" t="str">
        <f>DanhsachNguoiluutru!T12</f>
        <v>09/07/2023</v>
      </c>
      <c r="AA10" s="18" t="str">
        <f>DanhsachNguoiluutru!U12</f>
        <v>Du Lịch</v>
      </c>
      <c r="AB10" s="18">
        <f>DanhsachNguoiluutru!V12</f>
        <v>203</v>
      </c>
    </row>
    <row r="11" spans="1:28" x14ac:dyDescent="0.3">
      <c r="A11" s="18" t="str">
        <f>DanhsachNguoiluutru!B13</f>
        <v>Đào Hạnh Diễm</v>
      </c>
      <c r="B11" s="18" t="str">
        <f>DanhsachNguoiluutru!C13</f>
        <v>26/08/1995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019195668863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Tân Khánh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36</v>
      </c>
      <c r="S11" s="18" t="str">
        <f ca="1">INDEX(OFFSET(QuanHuyen!$C$1,MATCH(extracted!$R11,QuanHuyen!$A:$A,0)-1,0,10000,1),MATCH(DanhsachNguoiluutru!$O13,OFFSET(QuanHuyen!$B$1,MATCH(extracted!$R11,QuanHuyen!$A:$A,0)-1,0,10000,1), 0))</f>
        <v>359</v>
      </c>
      <c r="T11" s="18" t="str">
        <f ca="1">INDEX(OFFSET(PhuongXa!$C$1,MATCH(extracted!$S11,PhuongXa!$A:$A,0)-1,0,10000,1),MATCH(DanhsachNguoiluutru!$P13,OFFSET(PhuongXa!$B$1,MATCH(extracted!$S11,PhuongXa!$A:$A,0)-1,0,10000,1), 0))</f>
        <v>13750</v>
      </c>
      <c r="U11" s="18" t="str">
        <f>DanhsachNguoiluutru!Q13</f>
        <v>Tân Khánh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Tân Khánh, Xã Tân Khánh, Huyện Vụ Bản, Tỉnh Nam Định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07/07/2023</v>
      </c>
      <c r="Z11" s="18" t="str">
        <f>DanhsachNguoiluutru!T13</f>
        <v>09/07/2023</v>
      </c>
      <c r="AA11" s="18" t="str">
        <f>DanhsachNguoiluutru!U13</f>
        <v>Du Lịch</v>
      </c>
      <c r="AB11" s="18">
        <f>DanhsachNguoiluutru!V13</f>
        <v>203</v>
      </c>
    </row>
    <row r="12" spans="1:28" x14ac:dyDescent="0.3">
      <c r="A12" s="18" t="str">
        <f>DanhsachNguoiluutru!B14</f>
        <v>Dương Gia Phúc</v>
      </c>
      <c r="B12" s="18" t="str">
        <f>DanhsachNguoiluutru!C14</f>
        <v>27/04/1987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019087414726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Tân Khánh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36</v>
      </c>
      <c r="S12" s="18" t="str">
        <f ca="1">INDEX(OFFSET(QuanHuyen!$C$1,MATCH(extracted!$R12,QuanHuyen!$A:$A,0)-1,0,10000,1),MATCH(DanhsachNguoiluutru!$O14,OFFSET(QuanHuyen!$B$1,MATCH(extracted!$R12,QuanHuyen!$A:$A,0)-1,0,10000,1), 0))</f>
        <v>359</v>
      </c>
      <c r="T12" s="18" t="str">
        <f ca="1">INDEX(OFFSET(PhuongXa!$C$1,MATCH(extracted!$S12,PhuongXa!$A:$A,0)-1,0,10000,1),MATCH(DanhsachNguoiluutru!$P14,OFFSET(PhuongXa!$B$1,MATCH(extracted!$S12,PhuongXa!$A:$A,0)-1,0,10000,1), 0))</f>
        <v>13750</v>
      </c>
      <c r="U12" s="18" t="str">
        <f>DanhsachNguoiluutru!Q14</f>
        <v>Tân Khánh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Tân Khánh, Xã Tân Khánh, Huyện Vụ Bản, Tỉnh Nam Định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07/07/2023</v>
      </c>
      <c r="Z12" s="18" t="str">
        <f>DanhsachNguoiluutru!T14</f>
        <v>09/07/2023</v>
      </c>
      <c r="AA12" s="18" t="str">
        <f>DanhsachNguoiluutru!U14</f>
        <v>Du Lịch</v>
      </c>
      <c r="AB12" s="18">
        <f>DanhsachNguoiluutru!V14</f>
        <v>203</v>
      </c>
    </row>
    <row r="13" spans="1:28" x14ac:dyDescent="0.3">
      <c r="A13" s="18" t="str">
        <f>DanhsachNguoiluutru!B15</f>
        <v>Nguyễn Thành Long</v>
      </c>
      <c r="B13" s="18" t="str">
        <f>DanhsachNguoiluutru!C15</f>
        <v>24/11/1995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019095229756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Tân Khánh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36</v>
      </c>
      <c r="S13" s="18" t="str">
        <f ca="1">INDEX(OFFSET(QuanHuyen!$C$1,MATCH(extracted!$R13,QuanHuyen!$A:$A,0)-1,0,10000,1),MATCH(DanhsachNguoiluutru!$O15,OFFSET(QuanHuyen!$B$1,MATCH(extracted!$R13,QuanHuyen!$A:$A,0)-1,0,10000,1), 0))</f>
        <v>359</v>
      </c>
      <c r="T13" s="18" t="str">
        <f ca="1">INDEX(OFFSET(PhuongXa!$C$1,MATCH(extracted!$S13,PhuongXa!$A:$A,0)-1,0,10000,1),MATCH(DanhsachNguoiluutru!$P15,OFFSET(PhuongXa!$B$1,MATCH(extracted!$S13,PhuongXa!$A:$A,0)-1,0,10000,1), 0))</f>
        <v>13750</v>
      </c>
      <c r="U13" s="18" t="str">
        <f>DanhsachNguoiluutru!Q15</f>
        <v>Tân Khánh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Tân Khánh, Xã Tân Khánh, Huyện Vụ Bản, Tỉnh Nam Định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07/07/2023</v>
      </c>
      <c r="Z13" s="18" t="str">
        <f>DanhsachNguoiluutru!T15</f>
        <v>09/07/2023</v>
      </c>
      <c r="AA13" s="18" t="str">
        <f>DanhsachNguoiluutru!U15</f>
        <v>Du Lịch</v>
      </c>
      <c r="AB13" s="18">
        <f>DanhsachNguoiluutru!V15</f>
        <v>204</v>
      </c>
    </row>
    <row r="14" spans="1:28" x14ac:dyDescent="0.3">
      <c r="A14" s="18" t="str">
        <f>DanhsachNguoiluutru!B16</f>
        <v>Hoàng Linh Hạnh</v>
      </c>
      <c r="B14" s="18" t="str">
        <f>DanhsachNguoiluutru!C16</f>
        <v>08/07/1991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019191649216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Tân Khánh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36</v>
      </c>
      <c r="S14" s="18" t="str">
        <f ca="1">INDEX(OFFSET(QuanHuyen!$C$1,MATCH(extracted!$R14,QuanHuyen!$A:$A,0)-1,0,10000,1),MATCH(DanhsachNguoiluutru!$O16,OFFSET(QuanHuyen!$B$1,MATCH(extracted!$R14,QuanHuyen!$A:$A,0)-1,0,10000,1), 0))</f>
        <v>359</v>
      </c>
      <c r="T14" s="18" t="str">
        <f ca="1">INDEX(OFFSET(PhuongXa!$C$1,MATCH(extracted!$S14,PhuongXa!$A:$A,0)-1,0,10000,1),MATCH(DanhsachNguoiluutru!$P16,OFFSET(PhuongXa!$B$1,MATCH(extracted!$S14,PhuongXa!$A:$A,0)-1,0,10000,1), 0))</f>
        <v>13750</v>
      </c>
      <c r="U14" s="18" t="str">
        <f>DanhsachNguoiluutru!Q16</f>
        <v>Tân Khánh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Tân Khánh, Xã Tân Khánh, Huyện Vụ Bản, Tỉnh Nam Định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07/07/2023</v>
      </c>
      <c r="Z14" s="18" t="str">
        <f>DanhsachNguoiluutru!T16</f>
        <v>09/07/2023</v>
      </c>
      <c r="AA14" s="18" t="str">
        <f>DanhsachNguoiluutru!U16</f>
        <v>Du Lịch</v>
      </c>
      <c r="AB14" s="18">
        <f>DanhsachNguoiluutru!V16</f>
        <v>204</v>
      </c>
    </row>
    <row r="15" spans="1:28" x14ac:dyDescent="0.3">
      <c r="A15" s="18" t="str">
        <f>DanhsachNguoiluutru!B17</f>
        <v>Thái Tuấn Phúc</v>
      </c>
      <c r="B15" s="18" t="str">
        <f>DanhsachNguoiluutru!C17</f>
        <v>01/05/1982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019082779095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Tân Khánh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36</v>
      </c>
      <c r="S15" s="18" t="str">
        <f ca="1">INDEX(OFFSET(QuanHuyen!$C$1,MATCH(extracted!$R15,QuanHuyen!$A:$A,0)-1,0,10000,1),MATCH(DanhsachNguoiluutru!$O17,OFFSET(QuanHuyen!$B$1,MATCH(extracted!$R15,QuanHuyen!$A:$A,0)-1,0,10000,1), 0))</f>
        <v>359</v>
      </c>
      <c r="T15" s="18" t="str">
        <f ca="1">INDEX(OFFSET(PhuongXa!$C$1,MATCH(extracted!$S15,PhuongXa!$A:$A,0)-1,0,10000,1),MATCH(DanhsachNguoiluutru!$P17,OFFSET(PhuongXa!$B$1,MATCH(extracted!$S15,PhuongXa!$A:$A,0)-1,0,10000,1), 0))</f>
        <v>13750</v>
      </c>
      <c r="U15" s="18" t="str">
        <f>DanhsachNguoiluutru!Q17</f>
        <v>Tân Khánh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Tân Khánh, Xã Tân Khánh, Huyện Vụ Bản, Tỉnh Nam Định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07/07/2023</v>
      </c>
      <c r="Z15" s="18" t="str">
        <f>DanhsachNguoiluutru!T17</f>
        <v>09/07/2023</v>
      </c>
      <c r="AA15" s="18" t="str">
        <f>DanhsachNguoiluutru!U17</f>
        <v>Du Lịch</v>
      </c>
      <c r="AB15" s="18">
        <f>DanhsachNguoiluutru!V17</f>
        <v>204</v>
      </c>
    </row>
    <row r="16" spans="1:28" x14ac:dyDescent="0.3">
      <c r="A16" s="18" t="str">
        <f>DanhsachNguoiluutru!B18</f>
        <v>Trịnh Khánh Long</v>
      </c>
      <c r="B16" s="18" t="str">
        <f>DanhsachNguoiluutru!C18</f>
        <v>06/04/1994</v>
      </c>
      <c r="C16" s="18" t="str">
        <f>INDEX(GioiTinh!$A:$A,MATCH(DanhsachNguoiluutru!D18,GioiTinh!$B:$B,0))</f>
        <v>2</v>
      </c>
      <c r="D16" s="18" t="str">
        <f>DanhsachNguoiluutru!D18</f>
        <v>Giới tính Nam</v>
      </c>
      <c r="E16" s="18" t="str">
        <f>DanhsachNguoiluutru!E18</f>
        <v>019094570364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Tân Khánh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36</v>
      </c>
      <c r="S16" s="18" t="str">
        <f ca="1">INDEX(OFFSET(QuanHuyen!$C$1,MATCH(extracted!$R16,QuanHuyen!$A:$A,0)-1,0,10000,1),MATCH(DanhsachNguoiluutru!$O18,OFFSET(QuanHuyen!$B$1,MATCH(extracted!$R16,QuanHuyen!$A:$A,0)-1,0,10000,1), 0))</f>
        <v>359</v>
      </c>
      <c r="T16" s="18" t="str">
        <f ca="1">INDEX(OFFSET(PhuongXa!$C$1,MATCH(extracted!$S16,PhuongXa!$A:$A,0)-1,0,10000,1),MATCH(DanhsachNguoiluutru!$P18,OFFSET(PhuongXa!$B$1,MATCH(extracted!$S16,PhuongXa!$A:$A,0)-1,0,10000,1), 0))</f>
        <v>13750</v>
      </c>
      <c r="U16" s="18" t="str">
        <f>DanhsachNguoiluutru!Q18</f>
        <v>Tân Khánh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Tân Khánh, Xã Tân Khánh, Huyện Vụ Bản, Tỉnh Nam Định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07/07/2023</v>
      </c>
      <c r="Z16" s="18" t="str">
        <f>DanhsachNguoiluutru!T18</f>
        <v>09/07/2023</v>
      </c>
      <c r="AA16" s="18" t="str">
        <f>DanhsachNguoiluutru!U18</f>
        <v>Du Lịch</v>
      </c>
      <c r="AB16" s="18">
        <f>DanhsachNguoiluutru!V18</f>
        <v>204</v>
      </c>
    </row>
    <row r="17" spans="1:28" x14ac:dyDescent="0.3">
      <c r="A17" s="18" t="str">
        <f>DanhsachNguoiluutru!B19</f>
        <v>Đặng Phương Bích</v>
      </c>
      <c r="B17" s="18" t="str">
        <f>DanhsachNguoiluutru!C19</f>
        <v>18/02/1983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019183958283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Tân Khánh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36</v>
      </c>
      <c r="S17" s="18" t="str">
        <f ca="1">INDEX(OFFSET(QuanHuyen!$C$1,MATCH(extracted!$R17,QuanHuyen!$A:$A,0)-1,0,10000,1),MATCH(DanhsachNguoiluutru!$O19,OFFSET(QuanHuyen!$B$1,MATCH(extracted!$R17,QuanHuyen!$A:$A,0)-1,0,10000,1), 0))</f>
        <v>359</v>
      </c>
      <c r="T17" s="18" t="str">
        <f ca="1">INDEX(OFFSET(PhuongXa!$C$1,MATCH(extracted!$S17,PhuongXa!$A:$A,0)-1,0,10000,1),MATCH(DanhsachNguoiluutru!$P19,OFFSET(PhuongXa!$B$1,MATCH(extracted!$S17,PhuongXa!$A:$A,0)-1,0,10000,1), 0))</f>
        <v>13750</v>
      </c>
      <c r="U17" s="18" t="str">
        <f>DanhsachNguoiluutru!Q19</f>
        <v>Tân Khánh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Tân Khánh, Xã Tân Khánh, Huyện Vụ Bản, Tỉnh Nam Định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07/07/2023</v>
      </c>
      <c r="Z17" s="18" t="str">
        <f>DanhsachNguoiluutru!T19</f>
        <v>09/07/2023</v>
      </c>
      <c r="AA17" s="18" t="str">
        <f>DanhsachNguoiluutru!U19</f>
        <v>Du Lịch</v>
      </c>
      <c r="AB17" s="18">
        <f>DanhsachNguoiluutru!V19</f>
        <v>205</v>
      </c>
    </row>
    <row r="18" spans="1:28" x14ac:dyDescent="0.3">
      <c r="A18" s="18" t="str">
        <f>DanhsachNguoiluutru!B20</f>
        <v>Trần Kiên Hưng</v>
      </c>
      <c r="B18" s="18" t="str">
        <f>DanhsachNguoiluutru!C20</f>
        <v>18/06/1994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019094911855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Tân Khánh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36</v>
      </c>
      <c r="S18" s="18" t="str">
        <f ca="1">INDEX(OFFSET(QuanHuyen!$C$1,MATCH(extracted!$R18,QuanHuyen!$A:$A,0)-1,0,10000,1),MATCH(DanhsachNguoiluutru!$O20,OFFSET(QuanHuyen!$B$1,MATCH(extracted!$R18,QuanHuyen!$A:$A,0)-1,0,10000,1), 0))</f>
        <v>359</v>
      </c>
      <c r="T18" s="18" t="str">
        <f ca="1">INDEX(OFFSET(PhuongXa!$C$1,MATCH(extracted!$S18,PhuongXa!$A:$A,0)-1,0,10000,1),MATCH(DanhsachNguoiluutru!$P20,OFFSET(PhuongXa!$B$1,MATCH(extracted!$S18,PhuongXa!$A:$A,0)-1,0,10000,1), 0))</f>
        <v>13750</v>
      </c>
      <c r="U18" s="18" t="str">
        <f>DanhsachNguoiluutru!Q20</f>
        <v>Tân Khánh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Tân Khánh, Xã Tân Khánh, Huyện Vụ Bản, Tỉnh Nam Định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07/07/2023</v>
      </c>
      <c r="Z18" s="18" t="str">
        <f>DanhsachNguoiluutru!T20</f>
        <v>09/07/2023</v>
      </c>
      <c r="AA18" s="18" t="str">
        <f>DanhsachNguoiluutru!U20</f>
        <v>Du Lịch</v>
      </c>
      <c r="AB18" s="18">
        <f>DanhsachNguoiluutru!V20</f>
        <v>205</v>
      </c>
    </row>
    <row r="19" spans="1:28" x14ac:dyDescent="0.3">
      <c r="A19" s="18" t="str">
        <f>DanhsachNguoiluutru!B21</f>
        <v>Đinh Thu Hà</v>
      </c>
      <c r="B19" s="18" t="str">
        <f>DanhsachNguoiluutru!C21</f>
        <v>22/10/1986</v>
      </c>
      <c r="C19" s="18" t="str">
        <f>INDEX(GioiTinh!$A:$A,MATCH(DanhsachNguoiluutru!D21,GioiTinh!$B:$B,0))</f>
        <v>3</v>
      </c>
      <c r="D19" s="18" t="str">
        <f>DanhsachNguoiluutru!D21</f>
        <v>Giới tính Nữ</v>
      </c>
      <c r="E19" s="18" t="str">
        <f>DanhsachNguoiluutru!E21</f>
        <v>019186801138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Tân Khánh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36</v>
      </c>
      <c r="S19" s="18" t="str">
        <f ca="1">INDEX(OFFSET(QuanHuyen!$C$1,MATCH(extracted!$R19,QuanHuyen!$A:$A,0)-1,0,10000,1),MATCH(DanhsachNguoiluutru!$O21,OFFSET(QuanHuyen!$B$1,MATCH(extracted!$R19,QuanHuyen!$A:$A,0)-1,0,10000,1), 0))</f>
        <v>359</v>
      </c>
      <c r="T19" s="18" t="str">
        <f ca="1">INDEX(OFFSET(PhuongXa!$C$1,MATCH(extracted!$S19,PhuongXa!$A:$A,0)-1,0,10000,1),MATCH(DanhsachNguoiluutru!$P21,OFFSET(PhuongXa!$B$1,MATCH(extracted!$S19,PhuongXa!$A:$A,0)-1,0,10000,1), 0))</f>
        <v>13750</v>
      </c>
      <c r="U19" s="18" t="str">
        <f>DanhsachNguoiluutru!Q21</f>
        <v>Tân Khánh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Tân Khánh, Xã Tân Khánh, Huyện Vụ Bản, Tỉnh Nam Định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07/07/2023</v>
      </c>
      <c r="Z19" s="18" t="str">
        <f>DanhsachNguoiluutru!T21</f>
        <v>09/07/2023</v>
      </c>
      <c r="AA19" s="18" t="str">
        <f>DanhsachNguoiluutru!U21</f>
        <v>Du Lịch</v>
      </c>
      <c r="AB19" s="18">
        <f>DanhsachNguoiluutru!V21</f>
        <v>205</v>
      </c>
    </row>
    <row r="20" spans="1:28" x14ac:dyDescent="0.3">
      <c r="A20" s="18" t="str">
        <f>DanhsachNguoiluutru!B22</f>
        <v>Đỗ Thị Nhi</v>
      </c>
      <c r="B20" s="18" t="str">
        <f>DanhsachNguoiluutru!C22</f>
        <v>16/04/1982</v>
      </c>
      <c r="C20" s="18" t="str">
        <f>INDEX(GioiTinh!$A:$A,MATCH(DanhsachNguoiluutru!D22,GioiTinh!$B:$B,0))</f>
        <v>3</v>
      </c>
      <c r="D20" s="18" t="str">
        <f>DanhsachNguoiluutru!D22</f>
        <v>Giới tính Nữ</v>
      </c>
      <c r="E20" s="18" t="str">
        <f>DanhsachNguoiluutru!E22</f>
        <v>019182162965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Tân Khánh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36</v>
      </c>
      <c r="S20" s="18" t="str">
        <f ca="1">INDEX(OFFSET(QuanHuyen!$C$1,MATCH(extracted!$R20,QuanHuyen!$A:$A,0)-1,0,10000,1),MATCH(DanhsachNguoiluutru!$O22,OFFSET(QuanHuyen!$B$1,MATCH(extracted!$R20,QuanHuyen!$A:$A,0)-1,0,10000,1), 0))</f>
        <v>359</v>
      </c>
      <c r="T20" s="18" t="str">
        <f ca="1">INDEX(OFFSET(PhuongXa!$C$1,MATCH(extracted!$S20,PhuongXa!$A:$A,0)-1,0,10000,1),MATCH(DanhsachNguoiluutru!$P22,OFFSET(PhuongXa!$B$1,MATCH(extracted!$S20,PhuongXa!$A:$A,0)-1,0,10000,1), 0))</f>
        <v>13750</v>
      </c>
      <c r="U20" s="18" t="str">
        <f>DanhsachNguoiluutru!Q22</f>
        <v>Tân Khánh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Tân Khánh, Xã Tân Khánh, Huyện Vụ Bản, Tỉnh Nam Định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07/07/2023</v>
      </c>
      <c r="Z20" s="18" t="str">
        <f>DanhsachNguoiluutru!T22</f>
        <v>09/07/2023</v>
      </c>
      <c r="AA20" s="18" t="str">
        <f>DanhsachNguoiluutru!U22</f>
        <v>Du Lịch</v>
      </c>
      <c r="AB20" s="18">
        <f>DanhsachNguoiluutru!V22</f>
        <v>205</v>
      </c>
    </row>
    <row r="21" spans="1:28" x14ac:dyDescent="0.3">
      <c r="A21" s="18" t="str">
        <f>DanhsachNguoiluutru!B23</f>
        <v>Vũ Thu Yến</v>
      </c>
      <c r="B21" s="18" t="str">
        <f>DanhsachNguoiluutru!C23</f>
        <v>27/06/1992</v>
      </c>
      <c r="C21" s="18" t="str">
        <f>INDEX(GioiTinh!$A:$A,MATCH(DanhsachNguoiluutru!D23,GioiTinh!$B:$B,0))</f>
        <v>3</v>
      </c>
      <c r="D21" s="18" t="str">
        <f>DanhsachNguoiluutru!D23</f>
        <v>Giới tính Nữ</v>
      </c>
      <c r="E21" s="18" t="str">
        <f>DanhsachNguoiluutru!E23</f>
        <v>019192863831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str">
        <f>INDEX(NgheNghiep!$A:$A,MATCH(DanhsachNguoiluutru!I23,NgheNghiep!$B:$B,0))</f>
        <v>TUDO</v>
      </c>
      <c r="J21" s="18" t="str">
        <f>DanhsachNguoiluutru!I23</f>
        <v>Tự do</v>
      </c>
      <c r="K21" s="18" t="str">
        <f>DanhsachNguoiluutru!J23</f>
        <v>Tân Khánh</v>
      </c>
      <c r="L21" s="18" t="str">
        <f>INDEX(DanToc!$A:$A,MATCH(DanhsachNguoiluutru!K23,DanToc!$B:$B,0))</f>
        <v>01</v>
      </c>
      <c r="M21" s="18" t="str">
        <f>DanhsachNguoiluutru!K23</f>
        <v>Kinh</v>
      </c>
      <c r="N21" s="18" t="str">
        <f>INDEX(QuocTich!$A:$A,MATCH(DanhsachNguoiluutru!L23,QuocTich!$B:$B,0))</f>
        <v>VN</v>
      </c>
      <c r="O21" s="18" t="str">
        <f>DanhsachNguoiluutru!L23</f>
        <v>Việt Nam</v>
      </c>
      <c r="P21" s="18" t="str">
        <f>INDEX(QuocGia!$A:$A,MATCH(DanhsachNguoiluutru!M23,QuocGia!$B:$B,0))</f>
        <v>VN</v>
      </c>
      <c r="Q21" s="18" t="str">
        <f>DanhsachNguoiluutru!M23</f>
        <v>Cộng hòa xã hội chủ nghĩa Việt Nam</v>
      </c>
      <c r="R21" s="18" t="str">
        <f>INDEX(TinhThanh!$C:$C,MATCH(DanhsachNguoiluutru!N23,TinhThanh!$B:$B,0))</f>
        <v>36</v>
      </c>
      <c r="S21" s="18" t="str">
        <f ca="1">INDEX(OFFSET(QuanHuyen!$C$1,MATCH(extracted!$R21,QuanHuyen!$A:$A,0)-1,0,10000,1),MATCH(DanhsachNguoiluutru!$O23,OFFSET(QuanHuyen!$B$1,MATCH(extracted!$R21,QuanHuyen!$A:$A,0)-1,0,10000,1), 0))</f>
        <v>359</v>
      </c>
      <c r="T21" s="18" t="str">
        <f ca="1">INDEX(OFFSET(PhuongXa!$C$1,MATCH(extracted!$S21,PhuongXa!$A:$A,0)-1,0,10000,1),MATCH(DanhsachNguoiluutru!$P23,OFFSET(PhuongXa!$B$1,MATCH(extracted!$S21,PhuongXa!$A:$A,0)-1,0,10000,1), 0))</f>
        <v>13750</v>
      </c>
      <c r="U21" s="18" t="str">
        <f>DanhsachNguoiluutru!Q23</f>
        <v>Tân Khánh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Tân Khánh, Xã Tân Khánh, Huyện Vụ Bản, Tỉnh Nam Định</v>
      </c>
      <c r="W21" s="18">
        <f>VLOOKUP(DanhsachNguoiluutru!$R23,DanhMuc!$A$2:$B$4,2,FALSE)</f>
        <v>1</v>
      </c>
      <c r="X21" s="18" t="str">
        <f>DanhsachNguoiluutru!R23</f>
        <v>Tạm trú</v>
      </c>
      <c r="Y21" s="18" t="str">
        <f>DanhsachNguoiluutru!S23</f>
        <v>07/07/2023</v>
      </c>
      <c r="Z21" s="18" t="str">
        <f>DanhsachNguoiluutru!T23</f>
        <v>09/07/2023</v>
      </c>
      <c r="AA21" s="18" t="str">
        <f>DanhsachNguoiluutru!U23</f>
        <v>Du Lịch</v>
      </c>
      <c r="AB21" s="18">
        <f>DanhsachNguoiluutru!V23</f>
        <v>206</v>
      </c>
    </row>
    <row r="22" spans="1:28" x14ac:dyDescent="0.3">
      <c r="A22" s="18" t="str">
        <f>DanhsachNguoiluutru!B24</f>
        <v>Thái Thảo Hà</v>
      </c>
      <c r="B22" s="18" t="str">
        <f>DanhsachNguoiluutru!C24</f>
        <v>22/11/1991</v>
      </c>
      <c r="C22" s="18" t="str">
        <f>INDEX(GioiTinh!$A:$A,MATCH(DanhsachNguoiluutru!D24,GioiTinh!$B:$B,0))</f>
        <v>3</v>
      </c>
      <c r="D22" s="18" t="str">
        <f>DanhsachNguoiluutru!D24</f>
        <v>Giới tính Nữ</v>
      </c>
      <c r="E22" s="18" t="str">
        <f>DanhsachNguoiluutru!E24</f>
        <v>019191847183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str">
        <f>INDEX(NgheNghiep!$A:$A,MATCH(DanhsachNguoiluutru!I24,NgheNghiep!$B:$B,0))</f>
        <v>TUDO</v>
      </c>
      <c r="J22" s="18" t="str">
        <f>DanhsachNguoiluutru!I24</f>
        <v>Tự do</v>
      </c>
      <c r="K22" s="18" t="str">
        <f>DanhsachNguoiluutru!J24</f>
        <v>Tân Khánh</v>
      </c>
      <c r="L22" s="18" t="str">
        <f>INDEX(DanToc!$A:$A,MATCH(DanhsachNguoiluutru!K24,DanToc!$B:$B,0))</f>
        <v>01</v>
      </c>
      <c r="M22" s="18" t="str">
        <f>DanhsachNguoiluutru!K24</f>
        <v>Kinh</v>
      </c>
      <c r="N22" s="18" t="str">
        <f>INDEX(QuocTich!$A:$A,MATCH(DanhsachNguoiluutru!L24,QuocTich!$B:$B,0))</f>
        <v>VN</v>
      </c>
      <c r="O22" s="18" t="str">
        <f>DanhsachNguoiluutru!L24</f>
        <v>Việt Nam</v>
      </c>
      <c r="P22" s="18" t="str">
        <f>INDEX(QuocGia!$A:$A,MATCH(DanhsachNguoiluutru!M24,QuocGia!$B:$B,0))</f>
        <v>VN</v>
      </c>
      <c r="Q22" s="18" t="str">
        <f>DanhsachNguoiluutru!M24</f>
        <v>Cộng hòa xã hội chủ nghĩa Việt Nam</v>
      </c>
      <c r="R22" s="18" t="str">
        <f>INDEX(TinhThanh!$C:$C,MATCH(DanhsachNguoiluutru!N24,TinhThanh!$B:$B,0))</f>
        <v>36</v>
      </c>
      <c r="S22" s="18" t="str">
        <f ca="1">INDEX(OFFSET(QuanHuyen!$C$1,MATCH(extracted!$R22,QuanHuyen!$A:$A,0)-1,0,10000,1),MATCH(DanhsachNguoiluutru!$O24,OFFSET(QuanHuyen!$B$1,MATCH(extracted!$R22,QuanHuyen!$A:$A,0)-1,0,10000,1), 0))</f>
        <v>359</v>
      </c>
      <c r="T22" s="18" t="str">
        <f ca="1">INDEX(OFFSET(PhuongXa!$C$1,MATCH(extracted!$S22,PhuongXa!$A:$A,0)-1,0,10000,1),MATCH(DanhsachNguoiluutru!$P24,OFFSET(PhuongXa!$B$1,MATCH(extracted!$S22,PhuongXa!$A:$A,0)-1,0,10000,1), 0))</f>
        <v>13750</v>
      </c>
      <c r="U22" s="18" t="str">
        <f>DanhsachNguoiluutru!Q24</f>
        <v>Tân Khánh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Tân Khánh, Xã Tân Khánh, Huyện Vụ Bản, Tỉnh Nam Định</v>
      </c>
      <c r="W22" s="18">
        <f>VLOOKUP(DanhsachNguoiluutru!$R24,DanhMuc!$A$2:$B$4,2,FALSE)</f>
        <v>1</v>
      </c>
      <c r="X22" s="18" t="str">
        <f>DanhsachNguoiluutru!R24</f>
        <v>Tạm trú</v>
      </c>
      <c r="Y22" s="18" t="str">
        <f>DanhsachNguoiluutru!S24</f>
        <v>07/07/2023</v>
      </c>
      <c r="Z22" s="18" t="str">
        <f>DanhsachNguoiluutru!T24</f>
        <v>09/07/2023</v>
      </c>
      <c r="AA22" s="18" t="str">
        <f>DanhsachNguoiluutru!U24</f>
        <v>Du Lịch</v>
      </c>
      <c r="AB22" s="18">
        <f>DanhsachNguoiluutru!V24</f>
        <v>206</v>
      </c>
    </row>
    <row r="23" spans="1:28" x14ac:dyDescent="0.3">
      <c r="A23" s="18" t="str">
        <f>DanhsachNguoiluutru!B25</f>
        <v>Đặng Đức Linh</v>
      </c>
      <c r="B23" s="18" t="str">
        <f>DanhsachNguoiluutru!C25</f>
        <v>25/03/1985</v>
      </c>
      <c r="C23" s="18" t="str">
        <f>INDEX(GioiTinh!$A:$A,MATCH(DanhsachNguoiluutru!D25,GioiTinh!$B:$B,0))</f>
        <v>2</v>
      </c>
      <c r="D23" s="18" t="str">
        <f>DanhsachNguoiluutru!D25</f>
        <v>Giới tính Nam</v>
      </c>
      <c r="E23" s="18" t="str">
        <f>DanhsachNguoiluutru!E25</f>
        <v>019085109248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str">
        <f>INDEX(NgheNghiep!$A:$A,MATCH(DanhsachNguoiluutru!I25,NgheNghiep!$B:$B,0))</f>
        <v>TUDO</v>
      </c>
      <c r="J23" s="18" t="str">
        <f>DanhsachNguoiluutru!I25</f>
        <v>Tự do</v>
      </c>
      <c r="K23" s="18" t="str">
        <f>DanhsachNguoiluutru!J25</f>
        <v>Tân Khánh</v>
      </c>
      <c r="L23" s="18" t="str">
        <f>INDEX(DanToc!$A:$A,MATCH(DanhsachNguoiluutru!K25,DanToc!$B:$B,0))</f>
        <v>01</v>
      </c>
      <c r="M23" s="18" t="str">
        <f>DanhsachNguoiluutru!K25</f>
        <v>Kinh</v>
      </c>
      <c r="N23" s="18" t="str">
        <f>INDEX(QuocTich!$A:$A,MATCH(DanhsachNguoiluutru!L25,QuocTich!$B:$B,0))</f>
        <v>VN</v>
      </c>
      <c r="O23" s="18" t="str">
        <f>DanhsachNguoiluutru!L25</f>
        <v>Việt Nam</v>
      </c>
      <c r="P23" s="18" t="str">
        <f>INDEX(QuocGia!$A:$A,MATCH(DanhsachNguoiluutru!M25,QuocGia!$B:$B,0))</f>
        <v>VN</v>
      </c>
      <c r="Q23" s="18" t="str">
        <f>DanhsachNguoiluutru!M25</f>
        <v>Cộng hòa xã hội chủ nghĩa Việt Nam</v>
      </c>
      <c r="R23" s="18" t="str">
        <f>INDEX(TinhThanh!$C:$C,MATCH(DanhsachNguoiluutru!N25,TinhThanh!$B:$B,0))</f>
        <v>36</v>
      </c>
      <c r="S23" s="18" t="str">
        <f ca="1">INDEX(OFFSET(QuanHuyen!$C$1,MATCH(extracted!$R23,QuanHuyen!$A:$A,0)-1,0,10000,1),MATCH(DanhsachNguoiluutru!$O25,OFFSET(QuanHuyen!$B$1,MATCH(extracted!$R23,QuanHuyen!$A:$A,0)-1,0,10000,1), 0))</f>
        <v>359</v>
      </c>
      <c r="T23" s="18" t="str">
        <f ca="1">INDEX(OFFSET(PhuongXa!$C$1,MATCH(extracted!$S23,PhuongXa!$A:$A,0)-1,0,10000,1),MATCH(DanhsachNguoiluutru!$P25,OFFSET(PhuongXa!$B$1,MATCH(extracted!$S23,PhuongXa!$A:$A,0)-1,0,10000,1), 0))</f>
        <v>13750</v>
      </c>
      <c r="U23" s="18" t="str">
        <f>DanhsachNguoiluutru!Q25</f>
        <v>Tân Khánh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Tân Khánh, Xã Tân Khánh, Huyện Vụ Bản, Tỉnh Nam Định</v>
      </c>
      <c r="W23" s="18">
        <f>VLOOKUP(DanhsachNguoiluutru!$R25,DanhMuc!$A$2:$B$4,2,FALSE)</f>
        <v>1</v>
      </c>
      <c r="X23" s="18" t="str">
        <f>DanhsachNguoiluutru!R25</f>
        <v>Tạm trú</v>
      </c>
      <c r="Y23" s="18" t="str">
        <f>DanhsachNguoiluutru!S25</f>
        <v>07/07/2023</v>
      </c>
      <c r="Z23" s="18" t="str">
        <f>DanhsachNguoiluutru!T25</f>
        <v>09/07/2023</v>
      </c>
      <c r="AA23" s="18" t="str">
        <f>DanhsachNguoiluutru!U25</f>
        <v>Du Lịch</v>
      </c>
      <c r="AB23" s="18">
        <f>DanhsachNguoiluutru!V25</f>
        <v>206</v>
      </c>
    </row>
    <row r="24" spans="1:28" x14ac:dyDescent="0.3">
      <c r="A24" s="18" t="str">
        <f>DanhsachNguoiluutru!B26</f>
        <v>Phạm Đức Tuấn</v>
      </c>
      <c r="B24" s="18" t="str">
        <f>DanhsachNguoiluutru!C26</f>
        <v>14/06/1984</v>
      </c>
      <c r="C24" s="18" t="str">
        <f>INDEX(GioiTinh!$A:$A,MATCH(DanhsachNguoiluutru!D26,GioiTinh!$B:$B,0))</f>
        <v>2</v>
      </c>
      <c r="D24" s="18" t="str">
        <f>DanhsachNguoiluutru!D26</f>
        <v>Giới tính Nam</v>
      </c>
      <c r="E24" s="18" t="str">
        <f>DanhsachNguoiluutru!E26</f>
        <v>019084597466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str">
        <f>INDEX(NgheNghiep!$A:$A,MATCH(DanhsachNguoiluutru!I26,NgheNghiep!$B:$B,0))</f>
        <v>TUDO</v>
      </c>
      <c r="J24" s="18" t="str">
        <f>DanhsachNguoiluutru!I26</f>
        <v>Tự do</v>
      </c>
      <c r="K24" s="18" t="str">
        <f>DanhsachNguoiluutru!J26</f>
        <v>Tân Khánh</v>
      </c>
      <c r="L24" s="18" t="str">
        <f>INDEX(DanToc!$A:$A,MATCH(DanhsachNguoiluutru!K26,DanToc!$B:$B,0))</f>
        <v>01</v>
      </c>
      <c r="M24" s="18" t="str">
        <f>DanhsachNguoiluutru!K26</f>
        <v>Kinh</v>
      </c>
      <c r="N24" s="18" t="str">
        <f>INDEX(QuocTich!$A:$A,MATCH(DanhsachNguoiluutru!L26,QuocTich!$B:$B,0))</f>
        <v>VN</v>
      </c>
      <c r="O24" s="18" t="str">
        <f>DanhsachNguoiluutru!L26</f>
        <v>Việt Nam</v>
      </c>
      <c r="P24" s="18" t="str">
        <f>INDEX(QuocGia!$A:$A,MATCH(DanhsachNguoiluutru!M26,QuocGia!$B:$B,0))</f>
        <v>VN</v>
      </c>
      <c r="Q24" s="18" t="str">
        <f>DanhsachNguoiluutru!M26</f>
        <v>Cộng hòa xã hội chủ nghĩa Việt Nam</v>
      </c>
      <c r="R24" s="18" t="str">
        <f>INDEX(TinhThanh!$C:$C,MATCH(DanhsachNguoiluutru!N26,TinhThanh!$B:$B,0))</f>
        <v>36</v>
      </c>
      <c r="S24" s="18" t="str">
        <f ca="1">INDEX(OFFSET(QuanHuyen!$C$1,MATCH(extracted!$R24,QuanHuyen!$A:$A,0)-1,0,10000,1),MATCH(DanhsachNguoiluutru!$O26,OFFSET(QuanHuyen!$B$1,MATCH(extracted!$R24,QuanHuyen!$A:$A,0)-1,0,10000,1), 0))</f>
        <v>359</v>
      </c>
      <c r="T24" s="18" t="str">
        <f ca="1">INDEX(OFFSET(PhuongXa!$C$1,MATCH(extracted!$S24,PhuongXa!$A:$A,0)-1,0,10000,1),MATCH(DanhsachNguoiluutru!$P26,OFFSET(PhuongXa!$B$1,MATCH(extracted!$S24,PhuongXa!$A:$A,0)-1,0,10000,1), 0))</f>
        <v>13750</v>
      </c>
      <c r="U24" s="18" t="str">
        <f>DanhsachNguoiluutru!Q26</f>
        <v>Tân Khánh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Tân Khánh, Xã Tân Khánh, Huyện Vụ Bản, Tỉnh Nam Định</v>
      </c>
      <c r="W24" s="18">
        <f>VLOOKUP(DanhsachNguoiluutru!$R26,DanhMuc!$A$2:$B$4,2,FALSE)</f>
        <v>1</v>
      </c>
      <c r="X24" s="18" t="str">
        <f>DanhsachNguoiluutru!R26</f>
        <v>Tạm trú</v>
      </c>
      <c r="Y24" s="18" t="str">
        <f>DanhsachNguoiluutru!S26</f>
        <v>07/07/2023</v>
      </c>
      <c r="Z24" s="18" t="str">
        <f>DanhsachNguoiluutru!T26</f>
        <v>09/07/2023</v>
      </c>
      <c r="AA24" s="18" t="str">
        <f>DanhsachNguoiluutru!U26</f>
        <v>Du Lịch</v>
      </c>
      <c r="AB24" s="18">
        <f>DanhsachNguoiluutru!V26</f>
        <v>206</v>
      </c>
    </row>
    <row r="25" spans="1:28" x14ac:dyDescent="0.3">
      <c r="A25" s="18" t="str">
        <f>DanhsachNguoiluutru!B27</f>
        <v>Hoàng Thảo Quỳnh</v>
      </c>
      <c r="B25" s="18" t="str">
        <f>DanhsachNguoiluutru!C27</f>
        <v>23/04/1987</v>
      </c>
      <c r="C25" s="18" t="str">
        <f>INDEX(GioiTinh!$A:$A,MATCH(DanhsachNguoiluutru!D27,GioiTinh!$B:$B,0))</f>
        <v>3</v>
      </c>
      <c r="D25" s="18" t="str">
        <f>DanhsachNguoiluutru!D27</f>
        <v>Giới tính Nữ</v>
      </c>
      <c r="E25" s="18" t="str">
        <f>DanhsachNguoiluutru!E27</f>
        <v>019187867459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str">
        <f>INDEX(NgheNghiep!$A:$A,MATCH(DanhsachNguoiluutru!I27,NgheNghiep!$B:$B,0))</f>
        <v>TUDO</v>
      </c>
      <c r="J25" s="18" t="str">
        <f>DanhsachNguoiluutru!I27</f>
        <v>Tự do</v>
      </c>
      <c r="K25" s="18" t="str">
        <f>DanhsachNguoiluutru!J27</f>
        <v>Tân Khánh</v>
      </c>
      <c r="L25" s="18" t="str">
        <f>INDEX(DanToc!$A:$A,MATCH(DanhsachNguoiluutru!K27,DanToc!$B:$B,0))</f>
        <v>01</v>
      </c>
      <c r="M25" s="18" t="str">
        <f>DanhsachNguoiluutru!K27</f>
        <v>Kinh</v>
      </c>
      <c r="N25" s="18" t="str">
        <f>INDEX(QuocTich!$A:$A,MATCH(DanhsachNguoiluutru!L27,QuocTich!$B:$B,0))</f>
        <v>VN</v>
      </c>
      <c r="O25" s="18" t="str">
        <f>DanhsachNguoiluutru!L27</f>
        <v>Việt Nam</v>
      </c>
      <c r="P25" s="18" t="str">
        <f>INDEX(QuocGia!$A:$A,MATCH(DanhsachNguoiluutru!M27,QuocGia!$B:$B,0))</f>
        <v>VN</v>
      </c>
      <c r="Q25" s="18" t="str">
        <f>DanhsachNguoiluutru!M27</f>
        <v>Cộng hòa xã hội chủ nghĩa Việt Nam</v>
      </c>
      <c r="R25" s="18" t="str">
        <f>INDEX(TinhThanh!$C:$C,MATCH(DanhsachNguoiluutru!N27,TinhThanh!$B:$B,0))</f>
        <v>36</v>
      </c>
      <c r="S25" s="18" t="str">
        <f ca="1">INDEX(OFFSET(QuanHuyen!$C$1,MATCH(extracted!$R25,QuanHuyen!$A:$A,0)-1,0,10000,1),MATCH(DanhsachNguoiluutru!$O27,OFFSET(QuanHuyen!$B$1,MATCH(extracted!$R25,QuanHuyen!$A:$A,0)-1,0,10000,1), 0))</f>
        <v>359</v>
      </c>
      <c r="T25" s="18" t="str">
        <f ca="1">INDEX(OFFSET(PhuongXa!$C$1,MATCH(extracted!$S25,PhuongXa!$A:$A,0)-1,0,10000,1),MATCH(DanhsachNguoiluutru!$P27,OFFSET(PhuongXa!$B$1,MATCH(extracted!$S25,PhuongXa!$A:$A,0)-1,0,10000,1), 0))</f>
        <v>13750</v>
      </c>
      <c r="U25" s="18" t="str">
        <f>DanhsachNguoiluutru!Q27</f>
        <v>Tân Khánh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Tân Khánh, Xã Tân Khánh, Huyện Vụ Bản, Tỉnh Nam Định</v>
      </c>
      <c r="W25" s="18">
        <f>VLOOKUP(DanhsachNguoiluutru!$R27,DanhMuc!$A$2:$B$4,2,FALSE)</f>
        <v>1</v>
      </c>
      <c r="X25" s="18" t="str">
        <f>DanhsachNguoiluutru!R27</f>
        <v>Tạm trú</v>
      </c>
      <c r="Y25" s="18" t="str">
        <f>DanhsachNguoiluutru!S27</f>
        <v>07/07/2023</v>
      </c>
      <c r="Z25" s="18" t="str">
        <f>DanhsachNguoiluutru!T27</f>
        <v>09/07/2023</v>
      </c>
      <c r="AA25" s="18" t="str">
        <f>DanhsachNguoiluutru!U27</f>
        <v>Du Lịch</v>
      </c>
      <c r="AB25" s="18">
        <f>DanhsachNguoiluutru!V27</f>
        <v>207</v>
      </c>
    </row>
    <row r="26" spans="1:28" x14ac:dyDescent="0.3">
      <c r="A26" s="18" t="str">
        <f>DanhsachNguoiluutru!B28</f>
        <v>Đỗ Hữu Linh</v>
      </c>
      <c r="B26" s="18" t="str">
        <f>DanhsachNguoiluutru!C28</f>
        <v>25/01/1991</v>
      </c>
      <c r="C26" s="18" t="str">
        <f>INDEX(GioiTinh!$A:$A,MATCH(DanhsachNguoiluutru!D28,GioiTinh!$B:$B,0))</f>
        <v>2</v>
      </c>
      <c r="D26" s="18" t="str">
        <f>DanhsachNguoiluutru!D28</f>
        <v>Giới tính Nam</v>
      </c>
      <c r="E26" s="18" t="str">
        <f>DanhsachNguoiluutru!E28</f>
        <v>019091865229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str">
        <f>INDEX(NgheNghiep!$A:$A,MATCH(DanhsachNguoiluutru!I28,NgheNghiep!$B:$B,0))</f>
        <v>TUDO</v>
      </c>
      <c r="J26" s="18" t="str">
        <f>DanhsachNguoiluutru!I28</f>
        <v>Tự do</v>
      </c>
      <c r="K26" s="18" t="str">
        <f>DanhsachNguoiluutru!J28</f>
        <v>Tân Khánh</v>
      </c>
      <c r="L26" s="18" t="str">
        <f>INDEX(DanToc!$A:$A,MATCH(DanhsachNguoiluutru!K28,DanToc!$B:$B,0))</f>
        <v>01</v>
      </c>
      <c r="M26" s="18" t="str">
        <f>DanhsachNguoiluutru!K28</f>
        <v>Kinh</v>
      </c>
      <c r="N26" s="18" t="str">
        <f>INDEX(QuocTich!$A:$A,MATCH(DanhsachNguoiluutru!L28,QuocTich!$B:$B,0))</f>
        <v>VN</v>
      </c>
      <c r="O26" s="18" t="str">
        <f>DanhsachNguoiluutru!L28</f>
        <v>Việt Nam</v>
      </c>
      <c r="P26" s="18" t="str">
        <f>INDEX(QuocGia!$A:$A,MATCH(DanhsachNguoiluutru!M28,QuocGia!$B:$B,0))</f>
        <v>VN</v>
      </c>
      <c r="Q26" s="18" t="str">
        <f>DanhsachNguoiluutru!M28</f>
        <v>Cộng hòa xã hội chủ nghĩa Việt Nam</v>
      </c>
      <c r="R26" s="18" t="str">
        <f>INDEX(TinhThanh!$C:$C,MATCH(DanhsachNguoiluutru!N28,TinhThanh!$B:$B,0))</f>
        <v>36</v>
      </c>
      <c r="S26" s="18" t="str">
        <f ca="1">INDEX(OFFSET(QuanHuyen!$C$1,MATCH(extracted!$R26,QuanHuyen!$A:$A,0)-1,0,10000,1),MATCH(DanhsachNguoiluutru!$O28,OFFSET(QuanHuyen!$B$1,MATCH(extracted!$R26,QuanHuyen!$A:$A,0)-1,0,10000,1), 0))</f>
        <v>359</v>
      </c>
      <c r="T26" s="18" t="str">
        <f ca="1">INDEX(OFFSET(PhuongXa!$C$1,MATCH(extracted!$S26,PhuongXa!$A:$A,0)-1,0,10000,1),MATCH(DanhsachNguoiluutru!$P28,OFFSET(PhuongXa!$B$1,MATCH(extracted!$S26,PhuongXa!$A:$A,0)-1,0,10000,1), 0))</f>
        <v>13750</v>
      </c>
      <c r="U26" s="18" t="str">
        <f>DanhsachNguoiluutru!Q28</f>
        <v>Tân Khánh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Tân Khánh, Xã Tân Khánh, Huyện Vụ Bản, Tỉnh Nam Định</v>
      </c>
      <c r="W26" s="18">
        <f>VLOOKUP(DanhsachNguoiluutru!$R28,DanhMuc!$A$2:$B$4,2,FALSE)</f>
        <v>1</v>
      </c>
      <c r="X26" s="18" t="str">
        <f>DanhsachNguoiluutru!R28</f>
        <v>Tạm trú</v>
      </c>
      <c r="Y26" s="18" t="str">
        <f>DanhsachNguoiluutru!S28</f>
        <v>07/07/2023</v>
      </c>
      <c r="Z26" s="18" t="str">
        <f>DanhsachNguoiluutru!T28</f>
        <v>09/07/2023</v>
      </c>
      <c r="AA26" s="18" t="str">
        <f>DanhsachNguoiluutru!U28</f>
        <v>Du Lịch</v>
      </c>
      <c r="AB26" s="18">
        <f>DanhsachNguoiluutru!V28</f>
        <v>207</v>
      </c>
    </row>
    <row r="27" spans="1:28" x14ac:dyDescent="0.3">
      <c r="A27" s="18" t="str">
        <f>DanhsachNguoiluutru!B29</f>
        <v>Trương Thành Sơn</v>
      </c>
      <c r="B27" s="18" t="str">
        <f>DanhsachNguoiluutru!C29</f>
        <v>23/07/1979</v>
      </c>
      <c r="C27" s="18" t="str">
        <f>INDEX(GioiTinh!$A:$A,MATCH(DanhsachNguoiluutru!D29,GioiTinh!$B:$B,0))</f>
        <v>2</v>
      </c>
      <c r="D27" s="18" t="str">
        <f>DanhsachNguoiluutru!D29</f>
        <v>Giới tính Nam</v>
      </c>
      <c r="E27" s="18" t="str">
        <f>DanhsachNguoiluutru!E29</f>
        <v>019079223728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str">
        <f>INDEX(NgheNghiep!$A:$A,MATCH(DanhsachNguoiluutru!I29,NgheNghiep!$B:$B,0))</f>
        <v>TUDO</v>
      </c>
      <c r="J27" s="18" t="str">
        <f>DanhsachNguoiluutru!I29</f>
        <v>Tự do</v>
      </c>
      <c r="K27" s="18" t="str">
        <f>DanhsachNguoiluutru!J29</f>
        <v>Tân Khánh</v>
      </c>
      <c r="L27" s="18" t="str">
        <f>INDEX(DanToc!$A:$A,MATCH(DanhsachNguoiluutru!K29,DanToc!$B:$B,0))</f>
        <v>01</v>
      </c>
      <c r="M27" s="18" t="str">
        <f>DanhsachNguoiluutru!K29</f>
        <v>Kinh</v>
      </c>
      <c r="N27" s="18" t="str">
        <f>INDEX(QuocTich!$A:$A,MATCH(DanhsachNguoiluutru!L29,QuocTich!$B:$B,0))</f>
        <v>VN</v>
      </c>
      <c r="O27" s="18" t="str">
        <f>DanhsachNguoiluutru!L29</f>
        <v>Việt Nam</v>
      </c>
      <c r="P27" s="18" t="str">
        <f>INDEX(QuocGia!$A:$A,MATCH(DanhsachNguoiluutru!M29,QuocGia!$B:$B,0))</f>
        <v>VN</v>
      </c>
      <c r="Q27" s="18" t="str">
        <f>DanhsachNguoiluutru!M29</f>
        <v>Cộng hòa xã hội chủ nghĩa Việt Nam</v>
      </c>
      <c r="R27" s="18" t="str">
        <f>INDEX(TinhThanh!$C:$C,MATCH(DanhsachNguoiluutru!N29,TinhThanh!$B:$B,0))</f>
        <v>36</v>
      </c>
      <c r="S27" s="18" t="str">
        <f ca="1">INDEX(OFFSET(QuanHuyen!$C$1,MATCH(extracted!$R27,QuanHuyen!$A:$A,0)-1,0,10000,1),MATCH(DanhsachNguoiluutru!$O29,OFFSET(QuanHuyen!$B$1,MATCH(extracted!$R27,QuanHuyen!$A:$A,0)-1,0,10000,1), 0))</f>
        <v>359</v>
      </c>
      <c r="T27" s="18" t="str">
        <f ca="1">INDEX(OFFSET(PhuongXa!$C$1,MATCH(extracted!$S27,PhuongXa!$A:$A,0)-1,0,10000,1),MATCH(DanhsachNguoiluutru!$P29,OFFSET(PhuongXa!$B$1,MATCH(extracted!$S27,PhuongXa!$A:$A,0)-1,0,10000,1), 0))</f>
        <v>13750</v>
      </c>
      <c r="U27" s="18" t="str">
        <f>DanhsachNguoiluutru!Q29</f>
        <v>Tân Khánh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Tân Khánh, Xã Tân Khánh, Huyện Vụ Bản, Tỉnh Nam Định</v>
      </c>
      <c r="W27" s="18">
        <f>VLOOKUP(DanhsachNguoiluutru!$R29,DanhMuc!$A$2:$B$4,2,FALSE)</f>
        <v>1</v>
      </c>
      <c r="X27" s="18" t="str">
        <f>DanhsachNguoiluutru!R29</f>
        <v>Tạm trú</v>
      </c>
      <c r="Y27" s="18" t="str">
        <f>DanhsachNguoiluutru!S29</f>
        <v>07/07/2023</v>
      </c>
      <c r="Z27" s="18" t="str">
        <f>DanhsachNguoiluutru!T29</f>
        <v>09/07/2023</v>
      </c>
      <c r="AA27" s="18" t="str">
        <f>DanhsachNguoiluutru!U29</f>
        <v>Du Lịch</v>
      </c>
      <c r="AB27" s="18">
        <f>DanhsachNguoiluutru!V29</f>
        <v>207</v>
      </c>
    </row>
    <row r="28" spans="1:28" x14ac:dyDescent="0.3">
      <c r="A28" s="18" t="str">
        <f>DanhsachNguoiluutru!B30</f>
        <v>Lê Phúc Sơn</v>
      </c>
      <c r="B28" s="18" t="str">
        <f>DanhsachNguoiluutru!C30</f>
        <v>13/06/1979</v>
      </c>
      <c r="C28" s="18" t="str">
        <f>INDEX(GioiTinh!$A:$A,MATCH(DanhsachNguoiluutru!D30,GioiTinh!$B:$B,0))</f>
        <v>2</v>
      </c>
      <c r="D28" s="18" t="str">
        <f>DanhsachNguoiluutru!D30</f>
        <v>Giới tính Nam</v>
      </c>
      <c r="E28" s="18" t="str">
        <f>DanhsachNguoiluutru!E30</f>
        <v>019079510430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str">
        <f>INDEX(NgheNghiep!$A:$A,MATCH(DanhsachNguoiluutru!I30,NgheNghiep!$B:$B,0))</f>
        <v>TUDO</v>
      </c>
      <c r="J28" s="18" t="str">
        <f>DanhsachNguoiluutru!I30</f>
        <v>Tự do</v>
      </c>
      <c r="K28" s="18" t="str">
        <f>DanhsachNguoiluutru!J30</f>
        <v>Tân Khánh</v>
      </c>
      <c r="L28" s="18" t="str">
        <f>INDEX(DanToc!$A:$A,MATCH(DanhsachNguoiluutru!K30,DanToc!$B:$B,0))</f>
        <v>01</v>
      </c>
      <c r="M28" s="18" t="str">
        <f>DanhsachNguoiluutru!K30</f>
        <v>Kinh</v>
      </c>
      <c r="N28" s="18" t="str">
        <f>INDEX(QuocTich!$A:$A,MATCH(DanhsachNguoiluutru!L30,QuocTich!$B:$B,0))</f>
        <v>VN</v>
      </c>
      <c r="O28" s="18" t="str">
        <f>DanhsachNguoiluutru!L30</f>
        <v>Việt Nam</v>
      </c>
      <c r="P28" s="18" t="str">
        <f>INDEX(QuocGia!$A:$A,MATCH(DanhsachNguoiluutru!M30,QuocGia!$B:$B,0))</f>
        <v>VN</v>
      </c>
      <c r="Q28" s="18" t="str">
        <f>DanhsachNguoiluutru!M30</f>
        <v>Cộng hòa xã hội chủ nghĩa Việt Nam</v>
      </c>
      <c r="R28" s="18" t="str">
        <f>INDEX(TinhThanh!$C:$C,MATCH(DanhsachNguoiluutru!N30,TinhThanh!$B:$B,0))</f>
        <v>36</v>
      </c>
      <c r="S28" s="18" t="str">
        <f ca="1">INDEX(OFFSET(QuanHuyen!$C$1,MATCH(extracted!$R28,QuanHuyen!$A:$A,0)-1,0,10000,1),MATCH(DanhsachNguoiluutru!$O30,OFFSET(QuanHuyen!$B$1,MATCH(extracted!$R28,QuanHuyen!$A:$A,0)-1,0,10000,1), 0))</f>
        <v>359</v>
      </c>
      <c r="T28" s="18" t="str">
        <f ca="1">INDEX(OFFSET(PhuongXa!$C$1,MATCH(extracted!$S28,PhuongXa!$A:$A,0)-1,0,10000,1),MATCH(DanhsachNguoiluutru!$P30,OFFSET(PhuongXa!$B$1,MATCH(extracted!$S28,PhuongXa!$A:$A,0)-1,0,10000,1), 0))</f>
        <v>13750</v>
      </c>
      <c r="U28" s="18" t="str">
        <f>DanhsachNguoiluutru!Q30</f>
        <v>Tân Khánh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Tân Khánh, Xã Tân Khánh, Huyện Vụ Bản, Tỉnh Nam Định</v>
      </c>
      <c r="W28" s="18">
        <f>VLOOKUP(DanhsachNguoiluutru!$R30,DanhMuc!$A$2:$B$4,2,FALSE)</f>
        <v>1</v>
      </c>
      <c r="X28" s="18" t="str">
        <f>DanhsachNguoiluutru!R30</f>
        <v>Tạm trú</v>
      </c>
      <c r="Y28" s="18" t="str">
        <f>DanhsachNguoiluutru!S30</f>
        <v>07/07/2023</v>
      </c>
      <c r="Z28" s="18" t="str">
        <f>DanhsachNguoiluutru!T30</f>
        <v>09/07/2023</v>
      </c>
      <c r="AA28" s="18" t="str">
        <f>DanhsachNguoiluutru!U30</f>
        <v>Du Lịch</v>
      </c>
      <c r="AB28" s="18">
        <f>DanhsachNguoiluutru!V30</f>
        <v>207</v>
      </c>
    </row>
    <row r="29" spans="1:28" x14ac:dyDescent="0.3">
      <c r="A29" s="18" t="str">
        <f>DanhsachNguoiluutru!B31</f>
        <v>Hà Phước Khoa</v>
      </c>
      <c r="B29" s="18" t="str">
        <f>DanhsachNguoiluutru!C31</f>
        <v>10/09/1991</v>
      </c>
      <c r="C29" s="18" t="str">
        <f>INDEX(GioiTinh!$A:$A,MATCH(DanhsachNguoiluutru!D31,GioiTinh!$B:$B,0))</f>
        <v>2</v>
      </c>
      <c r="D29" s="18" t="str">
        <f>DanhsachNguoiluutru!D31</f>
        <v>Giới tính Nam</v>
      </c>
      <c r="E29" s="18" t="str">
        <f>DanhsachNguoiluutru!E31</f>
        <v>019091623925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str">
        <f>INDEX(NgheNghiep!$A:$A,MATCH(DanhsachNguoiluutru!I31,NgheNghiep!$B:$B,0))</f>
        <v>TUDO</v>
      </c>
      <c r="J29" s="18" t="str">
        <f>DanhsachNguoiluutru!I31</f>
        <v>Tự do</v>
      </c>
      <c r="K29" s="18" t="str">
        <f>DanhsachNguoiluutru!J31</f>
        <v>Tân Khánh</v>
      </c>
      <c r="L29" s="18" t="str">
        <f>INDEX(DanToc!$A:$A,MATCH(DanhsachNguoiluutru!K31,DanToc!$B:$B,0))</f>
        <v>01</v>
      </c>
      <c r="M29" s="18" t="str">
        <f>DanhsachNguoiluutru!K31</f>
        <v>Kinh</v>
      </c>
      <c r="N29" s="18" t="str">
        <f>INDEX(QuocTich!$A:$A,MATCH(DanhsachNguoiluutru!L31,QuocTich!$B:$B,0))</f>
        <v>VN</v>
      </c>
      <c r="O29" s="18" t="str">
        <f>DanhsachNguoiluutru!L31</f>
        <v>Việt Nam</v>
      </c>
      <c r="P29" s="18" t="str">
        <f>INDEX(QuocGia!$A:$A,MATCH(DanhsachNguoiluutru!M31,QuocGia!$B:$B,0))</f>
        <v>VN</v>
      </c>
      <c r="Q29" s="18" t="str">
        <f>DanhsachNguoiluutru!M31</f>
        <v>Cộng hòa xã hội chủ nghĩa Việt Nam</v>
      </c>
      <c r="R29" s="18" t="str">
        <f>INDEX(TinhThanh!$C:$C,MATCH(DanhsachNguoiluutru!N31,TinhThanh!$B:$B,0))</f>
        <v>36</v>
      </c>
      <c r="S29" s="18" t="str">
        <f ca="1">INDEX(OFFSET(QuanHuyen!$C$1,MATCH(extracted!$R29,QuanHuyen!$A:$A,0)-1,0,10000,1),MATCH(DanhsachNguoiluutru!$O31,OFFSET(QuanHuyen!$B$1,MATCH(extracted!$R29,QuanHuyen!$A:$A,0)-1,0,10000,1), 0))</f>
        <v>359</v>
      </c>
      <c r="T29" s="18" t="str">
        <f ca="1">INDEX(OFFSET(PhuongXa!$C$1,MATCH(extracted!$S29,PhuongXa!$A:$A,0)-1,0,10000,1),MATCH(DanhsachNguoiluutru!$P31,OFFSET(PhuongXa!$B$1,MATCH(extracted!$S29,PhuongXa!$A:$A,0)-1,0,10000,1), 0))</f>
        <v>13750</v>
      </c>
      <c r="U29" s="18" t="str">
        <f>DanhsachNguoiluutru!Q31</f>
        <v>Tân Khánh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>Tân Khánh, Xã Tân Khánh, Huyện Vụ Bản, Tỉnh Nam Định</v>
      </c>
      <c r="W29" s="18">
        <f>VLOOKUP(DanhsachNguoiluutru!$R31,DanhMuc!$A$2:$B$4,2,FALSE)</f>
        <v>1</v>
      </c>
      <c r="X29" s="18" t="str">
        <f>DanhsachNguoiluutru!R31</f>
        <v>Tạm trú</v>
      </c>
      <c r="Y29" s="18" t="str">
        <f>DanhsachNguoiluutru!S31</f>
        <v>07/07/2023</v>
      </c>
      <c r="Z29" s="18" t="str">
        <f>DanhsachNguoiluutru!T31</f>
        <v>09/07/2023</v>
      </c>
      <c r="AA29" s="18" t="str">
        <f>DanhsachNguoiluutru!U31</f>
        <v>Du Lịch</v>
      </c>
      <c r="AB29" s="18">
        <f>DanhsachNguoiluutru!V31</f>
        <v>301</v>
      </c>
    </row>
    <row r="30" spans="1:28" x14ac:dyDescent="0.3">
      <c r="A30" s="18" t="str">
        <f>DanhsachNguoiluutru!B32</f>
        <v>Vũ Huy Hiếu</v>
      </c>
      <c r="B30" s="18" t="str">
        <f>DanhsachNguoiluutru!C32</f>
        <v>14/11/1985</v>
      </c>
      <c r="C30" s="18" t="str">
        <f>INDEX(GioiTinh!$A:$A,MATCH(DanhsachNguoiluutru!D32,GioiTinh!$B:$B,0))</f>
        <v>2</v>
      </c>
      <c r="D30" s="18" t="str">
        <f>DanhsachNguoiluutru!D32</f>
        <v>Giới tính Nam</v>
      </c>
      <c r="E30" s="18" t="str">
        <f>DanhsachNguoiluutru!E32</f>
        <v>019085326056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str">
        <f>INDEX(NgheNghiep!$A:$A,MATCH(DanhsachNguoiluutru!I32,NgheNghiep!$B:$B,0))</f>
        <v>TUDO</v>
      </c>
      <c r="J30" s="18" t="str">
        <f>DanhsachNguoiluutru!I32</f>
        <v>Tự do</v>
      </c>
      <c r="K30" s="18" t="str">
        <f>DanhsachNguoiluutru!J32</f>
        <v>Tân Khánh</v>
      </c>
      <c r="L30" s="18" t="str">
        <f>INDEX(DanToc!$A:$A,MATCH(DanhsachNguoiluutru!K32,DanToc!$B:$B,0))</f>
        <v>01</v>
      </c>
      <c r="M30" s="18" t="str">
        <f>DanhsachNguoiluutru!K32</f>
        <v>Kinh</v>
      </c>
      <c r="N30" s="18" t="str">
        <f>INDEX(QuocTich!$A:$A,MATCH(DanhsachNguoiluutru!L32,QuocTich!$B:$B,0))</f>
        <v>VN</v>
      </c>
      <c r="O30" s="18" t="str">
        <f>DanhsachNguoiluutru!L32</f>
        <v>Việt Nam</v>
      </c>
      <c r="P30" s="18" t="str">
        <f>INDEX(QuocGia!$A:$A,MATCH(DanhsachNguoiluutru!M32,QuocGia!$B:$B,0))</f>
        <v>VN</v>
      </c>
      <c r="Q30" s="18" t="str">
        <f>DanhsachNguoiluutru!M32</f>
        <v>Cộng hòa xã hội chủ nghĩa Việt Nam</v>
      </c>
      <c r="R30" s="18" t="str">
        <f>INDEX(TinhThanh!$C:$C,MATCH(DanhsachNguoiluutru!N32,TinhThanh!$B:$B,0))</f>
        <v>36</v>
      </c>
      <c r="S30" s="18" t="str">
        <f ca="1">INDEX(OFFSET(QuanHuyen!$C$1,MATCH(extracted!$R30,QuanHuyen!$A:$A,0)-1,0,10000,1),MATCH(DanhsachNguoiluutru!$O32,OFFSET(QuanHuyen!$B$1,MATCH(extracted!$R30,QuanHuyen!$A:$A,0)-1,0,10000,1), 0))</f>
        <v>359</v>
      </c>
      <c r="T30" s="18" t="str">
        <f ca="1">INDEX(OFFSET(PhuongXa!$C$1,MATCH(extracted!$S30,PhuongXa!$A:$A,0)-1,0,10000,1),MATCH(DanhsachNguoiluutru!$P32,OFFSET(PhuongXa!$B$1,MATCH(extracted!$S30,PhuongXa!$A:$A,0)-1,0,10000,1), 0))</f>
        <v>13750</v>
      </c>
      <c r="U30" s="18" t="str">
        <f>DanhsachNguoiluutru!Q32</f>
        <v>Tân Khánh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>Tân Khánh, Xã Tân Khánh, Huyện Vụ Bản, Tỉnh Nam Định</v>
      </c>
      <c r="W30" s="18">
        <f>VLOOKUP(DanhsachNguoiluutru!$R32,DanhMuc!$A$2:$B$4,2,FALSE)</f>
        <v>1</v>
      </c>
      <c r="X30" s="18" t="str">
        <f>DanhsachNguoiluutru!R32</f>
        <v>Tạm trú</v>
      </c>
      <c r="Y30" s="18" t="str">
        <f>DanhsachNguoiluutru!S32</f>
        <v>07/07/2023</v>
      </c>
      <c r="Z30" s="18" t="str">
        <f>DanhsachNguoiluutru!T32</f>
        <v>09/07/2023</v>
      </c>
      <c r="AA30" s="18" t="str">
        <f>DanhsachNguoiluutru!U32</f>
        <v>Du Lịch</v>
      </c>
      <c r="AB30" s="18">
        <f>DanhsachNguoiluutru!V32</f>
        <v>301</v>
      </c>
    </row>
    <row r="31" spans="1:28" x14ac:dyDescent="0.3">
      <c r="A31" s="18" t="str">
        <f>DanhsachNguoiluutru!B33</f>
        <v>Trương Hạnh Phương</v>
      </c>
      <c r="B31" s="18" t="str">
        <f>DanhsachNguoiluutru!C33</f>
        <v>22/11/1981</v>
      </c>
      <c r="C31" s="18" t="str">
        <f>INDEX(GioiTinh!$A:$A,MATCH(DanhsachNguoiluutru!D33,GioiTinh!$B:$B,0))</f>
        <v>3</v>
      </c>
      <c r="D31" s="18" t="str">
        <f>DanhsachNguoiluutru!D33</f>
        <v>Giới tính Nữ</v>
      </c>
      <c r="E31" s="18" t="str">
        <f>DanhsachNguoiluutru!E33</f>
        <v>019181907542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str">
        <f>INDEX(NgheNghiep!$A:$A,MATCH(DanhsachNguoiluutru!I33,NgheNghiep!$B:$B,0))</f>
        <v>TUDO</v>
      </c>
      <c r="J31" s="18" t="str">
        <f>DanhsachNguoiluutru!I33</f>
        <v>Tự do</v>
      </c>
      <c r="K31" s="18" t="str">
        <f>DanhsachNguoiluutru!J33</f>
        <v>Tân Khánh</v>
      </c>
      <c r="L31" s="18" t="str">
        <f>INDEX(DanToc!$A:$A,MATCH(DanhsachNguoiluutru!K33,DanToc!$B:$B,0))</f>
        <v>01</v>
      </c>
      <c r="M31" s="18" t="str">
        <f>DanhsachNguoiluutru!K33</f>
        <v>Kinh</v>
      </c>
      <c r="N31" s="18" t="str">
        <f>INDEX(QuocTich!$A:$A,MATCH(DanhsachNguoiluutru!L33,QuocTich!$B:$B,0))</f>
        <v>VN</v>
      </c>
      <c r="O31" s="18" t="str">
        <f>DanhsachNguoiluutru!L33</f>
        <v>Việt Nam</v>
      </c>
      <c r="P31" s="18" t="str">
        <f>INDEX(QuocGia!$A:$A,MATCH(DanhsachNguoiluutru!M33,QuocGia!$B:$B,0))</f>
        <v>VN</v>
      </c>
      <c r="Q31" s="18" t="str">
        <f>DanhsachNguoiluutru!M33</f>
        <v>Cộng hòa xã hội chủ nghĩa Việt Nam</v>
      </c>
      <c r="R31" s="18" t="str">
        <f>INDEX(TinhThanh!$C:$C,MATCH(DanhsachNguoiluutru!N33,TinhThanh!$B:$B,0))</f>
        <v>36</v>
      </c>
      <c r="S31" s="18" t="str">
        <f ca="1">INDEX(OFFSET(QuanHuyen!$C$1,MATCH(extracted!$R31,QuanHuyen!$A:$A,0)-1,0,10000,1),MATCH(DanhsachNguoiluutru!$O33,OFFSET(QuanHuyen!$B$1,MATCH(extracted!$R31,QuanHuyen!$A:$A,0)-1,0,10000,1), 0))</f>
        <v>359</v>
      </c>
      <c r="T31" s="18" t="str">
        <f ca="1">INDEX(OFFSET(PhuongXa!$C$1,MATCH(extracted!$S31,PhuongXa!$A:$A,0)-1,0,10000,1),MATCH(DanhsachNguoiluutru!$P33,OFFSET(PhuongXa!$B$1,MATCH(extracted!$S31,PhuongXa!$A:$A,0)-1,0,10000,1), 0))</f>
        <v>13750</v>
      </c>
      <c r="U31" s="18" t="str">
        <f>DanhsachNguoiluutru!Q33</f>
        <v>Tân Khánh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>Tân Khánh, Xã Tân Khánh, Huyện Vụ Bản, Tỉnh Nam Định</v>
      </c>
      <c r="W31" s="18">
        <f>VLOOKUP(DanhsachNguoiluutru!$R33,DanhMuc!$A$2:$B$4,2,FALSE)</f>
        <v>1</v>
      </c>
      <c r="X31" s="18" t="str">
        <f>DanhsachNguoiluutru!R33</f>
        <v>Tạm trú</v>
      </c>
      <c r="Y31" s="18" t="str">
        <f>DanhsachNguoiluutru!S33</f>
        <v>07/07/2023</v>
      </c>
      <c r="Z31" s="18" t="str">
        <f>DanhsachNguoiluutru!T33</f>
        <v>09/07/2023</v>
      </c>
      <c r="AA31" s="18" t="str">
        <f>DanhsachNguoiluutru!U33</f>
        <v>Du Lịch</v>
      </c>
      <c r="AB31" s="18">
        <f>DanhsachNguoiluutru!V33</f>
        <v>301</v>
      </c>
    </row>
    <row r="32" spans="1:28" x14ac:dyDescent="0.3">
      <c r="A32" s="18" t="str">
        <f>DanhsachNguoiluutru!B34</f>
        <v>Trịnh Hạnh Anh</v>
      </c>
      <c r="B32" s="18" t="str">
        <f>DanhsachNguoiluutru!C34</f>
        <v>06/04/1979</v>
      </c>
      <c r="C32" s="18" t="str">
        <f>INDEX(GioiTinh!$A:$A,MATCH(DanhsachNguoiluutru!D34,GioiTinh!$B:$B,0))</f>
        <v>3</v>
      </c>
      <c r="D32" s="18" t="str">
        <f>DanhsachNguoiluutru!D34</f>
        <v>Giới tính Nữ</v>
      </c>
      <c r="E32" s="18" t="str">
        <f>DanhsachNguoiluutru!E34</f>
        <v>019179671924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str">
        <f>INDEX(NgheNghiep!$A:$A,MATCH(DanhsachNguoiluutru!I34,NgheNghiep!$B:$B,0))</f>
        <v>TUDO</v>
      </c>
      <c r="J32" s="18" t="str">
        <f>DanhsachNguoiluutru!I34</f>
        <v>Tự do</v>
      </c>
      <c r="K32" s="18" t="str">
        <f>DanhsachNguoiluutru!J34</f>
        <v>Tân Khánh</v>
      </c>
      <c r="L32" s="18" t="str">
        <f>INDEX(DanToc!$A:$A,MATCH(DanhsachNguoiluutru!K34,DanToc!$B:$B,0))</f>
        <v>01</v>
      </c>
      <c r="M32" s="18" t="str">
        <f>DanhsachNguoiluutru!K34</f>
        <v>Kinh</v>
      </c>
      <c r="N32" s="18" t="str">
        <f>INDEX(QuocTich!$A:$A,MATCH(DanhsachNguoiluutru!L34,QuocTich!$B:$B,0))</f>
        <v>VN</v>
      </c>
      <c r="O32" s="18" t="str">
        <f>DanhsachNguoiluutru!L34</f>
        <v>Việt Nam</v>
      </c>
      <c r="P32" s="18" t="str">
        <f>INDEX(QuocGia!$A:$A,MATCH(DanhsachNguoiluutru!M34,QuocGia!$B:$B,0))</f>
        <v>VN</v>
      </c>
      <c r="Q32" s="18" t="str">
        <f>DanhsachNguoiluutru!M34</f>
        <v>Cộng hòa xã hội chủ nghĩa Việt Nam</v>
      </c>
      <c r="R32" s="18" t="str">
        <f>INDEX(TinhThanh!$C:$C,MATCH(DanhsachNguoiluutru!N34,TinhThanh!$B:$B,0))</f>
        <v>36</v>
      </c>
      <c r="S32" s="18" t="str">
        <f ca="1">INDEX(OFFSET(QuanHuyen!$C$1,MATCH(extracted!$R32,QuanHuyen!$A:$A,0)-1,0,10000,1),MATCH(DanhsachNguoiluutru!$O34,OFFSET(QuanHuyen!$B$1,MATCH(extracted!$R32,QuanHuyen!$A:$A,0)-1,0,10000,1), 0))</f>
        <v>359</v>
      </c>
      <c r="T32" s="18" t="str">
        <f ca="1">INDEX(OFFSET(PhuongXa!$C$1,MATCH(extracted!$S32,PhuongXa!$A:$A,0)-1,0,10000,1),MATCH(DanhsachNguoiluutru!$P34,OFFSET(PhuongXa!$B$1,MATCH(extracted!$S32,PhuongXa!$A:$A,0)-1,0,10000,1), 0))</f>
        <v>13750</v>
      </c>
      <c r="U32" s="18" t="str">
        <f>DanhsachNguoiluutru!Q34</f>
        <v>Tân Khánh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>Tân Khánh, Xã Tân Khánh, Huyện Vụ Bản, Tỉnh Nam Định</v>
      </c>
      <c r="W32" s="18">
        <f>VLOOKUP(DanhsachNguoiluutru!$R34,DanhMuc!$A$2:$B$4,2,FALSE)</f>
        <v>1</v>
      </c>
      <c r="X32" s="18" t="str">
        <f>DanhsachNguoiluutru!R34</f>
        <v>Tạm trú</v>
      </c>
      <c r="Y32" s="18" t="str">
        <f>DanhsachNguoiluutru!S34</f>
        <v>07/07/2023</v>
      </c>
      <c r="Z32" s="18" t="str">
        <f>DanhsachNguoiluutru!T34</f>
        <v>09/07/2023</v>
      </c>
      <c r="AA32" s="18" t="str">
        <f>DanhsachNguoiluutru!U34</f>
        <v>Du Lịch</v>
      </c>
      <c r="AB32" s="18">
        <f>DanhsachNguoiluutru!V34</f>
        <v>301</v>
      </c>
    </row>
    <row r="33" spans="1:28" x14ac:dyDescent="0.3">
      <c r="A33" s="18" t="str">
        <f>DanhsachNguoiluutru!B35</f>
        <v>Lê Thu Hạnh</v>
      </c>
      <c r="B33" s="18" t="str">
        <f>DanhsachNguoiluutru!C35</f>
        <v>10/12/1984</v>
      </c>
      <c r="C33" s="18" t="str">
        <f>INDEX(GioiTinh!$A:$A,MATCH(DanhsachNguoiluutru!D35,GioiTinh!$B:$B,0))</f>
        <v>3</v>
      </c>
      <c r="D33" s="18" t="str">
        <f>DanhsachNguoiluutru!D35</f>
        <v>Giới tính Nữ</v>
      </c>
      <c r="E33" s="18" t="str">
        <f>DanhsachNguoiluutru!E35</f>
        <v>019184612627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str">
        <f>INDEX(NgheNghiep!$A:$A,MATCH(DanhsachNguoiluutru!I35,NgheNghiep!$B:$B,0))</f>
        <v>TUDO</v>
      </c>
      <c r="J33" s="18" t="str">
        <f>DanhsachNguoiluutru!I35</f>
        <v>Tự do</v>
      </c>
      <c r="K33" s="18" t="str">
        <f>DanhsachNguoiluutru!J35</f>
        <v>Tân Khánh</v>
      </c>
      <c r="L33" s="18" t="str">
        <f>INDEX(DanToc!$A:$A,MATCH(DanhsachNguoiluutru!K35,DanToc!$B:$B,0))</f>
        <v>01</v>
      </c>
      <c r="M33" s="18" t="str">
        <f>DanhsachNguoiluutru!K35</f>
        <v>Kinh</v>
      </c>
      <c r="N33" s="18" t="str">
        <f>INDEX(QuocTich!$A:$A,MATCH(DanhsachNguoiluutru!L35,QuocTich!$B:$B,0))</f>
        <v>VN</v>
      </c>
      <c r="O33" s="18" t="str">
        <f>DanhsachNguoiluutru!L35</f>
        <v>Việt Nam</v>
      </c>
      <c r="P33" s="18" t="str">
        <f>INDEX(QuocGia!$A:$A,MATCH(DanhsachNguoiluutru!M35,QuocGia!$B:$B,0))</f>
        <v>VN</v>
      </c>
      <c r="Q33" s="18" t="str">
        <f>DanhsachNguoiluutru!M35</f>
        <v>Cộng hòa xã hội chủ nghĩa Việt Nam</v>
      </c>
      <c r="R33" s="18" t="str">
        <f>INDEX(TinhThanh!$C:$C,MATCH(DanhsachNguoiluutru!N35,TinhThanh!$B:$B,0))</f>
        <v>36</v>
      </c>
      <c r="S33" s="18" t="str">
        <f ca="1">INDEX(OFFSET(QuanHuyen!$C$1,MATCH(extracted!$R33,QuanHuyen!$A:$A,0)-1,0,10000,1),MATCH(DanhsachNguoiluutru!$O35,OFFSET(QuanHuyen!$B$1,MATCH(extracted!$R33,QuanHuyen!$A:$A,0)-1,0,10000,1), 0))</f>
        <v>359</v>
      </c>
      <c r="T33" s="18" t="str">
        <f ca="1">INDEX(OFFSET(PhuongXa!$C$1,MATCH(extracted!$S33,PhuongXa!$A:$A,0)-1,0,10000,1),MATCH(DanhsachNguoiluutru!$P35,OFFSET(PhuongXa!$B$1,MATCH(extracted!$S33,PhuongXa!$A:$A,0)-1,0,10000,1), 0))</f>
        <v>13750</v>
      </c>
      <c r="U33" s="18" t="str">
        <f>DanhsachNguoiluutru!Q35</f>
        <v>Tân Khánh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>Tân Khánh, Xã Tân Khánh, Huyện Vụ Bản, Tỉnh Nam Định</v>
      </c>
      <c r="W33" s="18">
        <f>VLOOKUP(DanhsachNguoiluutru!$R35,DanhMuc!$A$2:$B$4,2,FALSE)</f>
        <v>1</v>
      </c>
      <c r="X33" s="18" t="str">
        <f>DanhsachNguoiluutru!R35</f>
        <v>Tạm trú</v>
      </c>
      <c r="Y33" s="18" t="str">
        <f>DanhsachNguoiluutru!S35</f>
        <v>07/07/2023</v>
      </c>
      <c r="Z33" s="18" t="str">
        <f>DanhsachNguoiluutru!T35</f>
        <v>09/07/2023</v>
      </c>
      <c r="AA33" s="18" t="str">
        <f>DanhsachNguoiluutru!U35</f>
        <v>Du Lịch</v>
      </c>
      <c r="AB33" s="18">
        <f>DanhsachNguoiluutru!V35</f>
        <v>302</v>
      </c>
    </row>
    <row r="34" spans="1:28" x14ac:dyDescent="0.3">
      <c r="A34" s="18" t="str">
        <f>DanhsachNguoiluutru!B36</f>
        <v>Phạm Công Cường</v>
      </c>
      <c r="B34" s="18" t="str">
        <f>DanhsachNguoiluutru!C36</f>
        <v>26/01/1994</v>
      </c>
      <c r="C34" s="18" t="str">
        <f>INDEX(GioiTinh!$A:$A,MATCH(DanhsachNguoiluutru!D36,GioiTinh!$B:$B,0))</f>
        <v>2</v>
      </c>
      <c r="D34" s="18" t="str">
        <f>DanhsachNguoiluutru!D36</f>
        <v>Giới tính Nam</v>
      </c>
      <c r="E34" s="18" t="str">
        <f>DanhsachNguoiluutru!E36</f>
        <v>019094510075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str">
        <f>INDEX(NgheNghiep!$A:$A,MATCH(DanhsachNguoiluutru!I36,NgheNghiep!$B:$B,0))</f>
        <v>TUDO</v>
      </c>
      <c r="J34" s="18" t="str">
        <f>DanhsachNguoiluutru!I36</f>
        <v>Tự do</v>
      </c>
      <c r="K34" s="18" t="str">
        <f>DanhsachNguoiluutru!J36</f>
        <v>Tân Khánh</v>
      </c>
      <c r="L34" s="18" t="str">
        <f>INDEX(DanToc!$A:$A,MATCH(DanhsachNguoiluutru!K36,DanToc!$B:$B,0))</f>
        <v>01</v>
      </c>
      <c r="M34" s="18" t="str">
        <f>DanhsachNguoiluutru!K36</f>
        <v>Kinh</v>
      </c>
      <c r="N34" s="18" t="str">
        <f>INDEX(QuocTich!$A:$A,MATCH(DanhsachNguoiluutru!L36,QuocTich!$B:$B,0))</f>
        <v>VN</v>
      </c>
      <c r="O34" s="18" t="str">
        <f>DanhsachNguoiluutru!L36</f>
        <v>Việt Nam</v>
      </c>
      <c r="P34" s="18" t="str">
        <f>INDEX(QuocGia!$A:$A,MATCH(DanhsachNguoiluutru!M36,QuocGia!$B:$B,0))</f>
        <v>VN</v>
      </c>
      <c r="Q34" s="18" t="str">
        <f>DanhsachNguoiluutru!M36</f>
        <v>Cộng hòa xã hội chủ nghĩa Việt Nam</v>
      </c>
      <c r="R34" s="18" t="str">
        <f>INDEX(TinhThanh!$C:$C,MATCH(DanhsachNguoiluutru!N36,TinhThanh!$B:$B,0))</f>
        <v>36</v>
      </c>
      <c r="S34" s="18" t="str">
        <f ca="1">INDEX(OFFSET(QuanHuyen!$C$1,MATCH(extracted!$R34,QuanHuyen!$A:$A,0)-1,0,10000,1),MATCH(DanhsachNguoiluutru!$O36,OFFSET(QuanHuyen!$B$1,MATCH(extracted!$R34,QuanHuyen!$A:$A,0)-1,0,10000,1), 0))</f>
        <v>359</v>
      </c>
      <c r="T34" s="18" t="str">
        <f ca="1">INDEX(OFFSET(PhuongXa!$C$1,MATCH(extracted!$S34,PhuongXa!$A:$A,0)-1,0,10000,1),MATCH(DanhsachNguoiluutru!$P36,OFFSET(PhuongXa!$B$1,MATCH(extracted!$S34,PhuongXa!$A:$A,0)-1,0,10000,1), 0))</f>
        <v>13750</v>
      </c>
      <c r="U34" s="18" t="str">
        <f>DanhsachNguoiluutru!Q36</f>
        <v>Tân Khánh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>Tân Khánh, Xã Tân Khánh, Huyện Vụ Bản, Tỉnh Nam Định</v>
      </c>
      <c r="W34" s="18">
        <f>VLOOKUP(DanhsachNguoiluutru!$R36,DanhMuc!$A$2:$B$4,2,FALSE)</f>
        <v>1</v>
      </c>
      <c r="X34" s="18" t="str">
        <f>DanhsachNguoiluutru!R36</f>
        <v>Tạm trú</v>
      </c>
      <c r="Y34" s="18" t="str">
        <f>DanhsachNguoiluutru!S36</f>
        <v>07/07/2023</v>
      </c>
      <c r="Z34" s="18" t="str">
        <f>DanhsachNguoiluutru!T36</f>
        <v>09/07/2023</v>
      </c>
      <c r="AA34" s="18" t="str">
        <f>DanhsachNguoiluutru!U36</f>
        <v>Du Lịch</v>
      </c>
      <c r="AB34" s="18">
        <f>DanhsachNguoiluutru!V36</f>
        <v>302</v>
      </c>
    </row>
    <row r="35" spans="1:28" x14ac:dyDescent="0.3">
      <c r="A35" s="18" t="str">
        <f>DanhsachNguoiluutru!B37</f>
        <v>Võ Đức Kiên</v>
      </c>
      <c r="B35" s="18" t="str">
        <f>DanhsachNguoiluutru!C37</f>
        <v>26/08/1985</v>
      </c>
      <c r="C35" s="18" t="str">
        <f>INDEX(GioiTinh!$A:$A,MATCH(DanhsachNguoiluutru!D37,GioiTinh!$B:$B,0))</f>
        <v>2</v>
      </c>
      <c r="D35" s="18" t="str">
        <f>DanhsachNguoiluutru!D37</f>
        <v>Giới tính Nam</v>
      </c>
      <c r="E35" s="18" t="str">
        <f>DanhsachNguoiluutru!E37</f>
        <v>019085995284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str">
        <f>INDEX(NgheNghiep!$A:$A,MATCH(DanhsachNguoiluutru!I37,NgheNghiep!$B:$B,0))</f>
        <v>TUDO</v>
      </c>
      <c r="J35" s="18" t="str">
        <f>DanhsachNguoiluutru!I37</f>
        <v>Tự do</v>
      </c>
      <c r="K35" s="18" t="str">
        <f>DanhsachNguoiluutru!J37</f>
        <v>Tân Khánh</v>
      </c>
      <c r="L35" s="18" t="str">
        <f>INDEX(DanToc!$A:$A,MATCH(DanhsachNguoiluutru!K37,DanToc!$B:$B,0))</f>
        <v>01</v>
      </c>
      <c r="M35" s="18" t="str">
        <f>DanhsachNguoiluutru!K37</f>
        <v>Kinh</v>
      </c>
      <c r="N35" s="18" t="str">
        <f>INDEX(QuocTich!$A:$A,MATCH(DanhsachNguoiluutru!L37,QuocTich!$B:$B,0))</f>
        <v>VN</v>
      </c>
      <c r="O35" s="18" t="str">
        <f>DanhsachNguoiluutru!L37</f>
        <v>Việt Nam</v>
      </c>
      <c r="P35" s="18" t="str">
        <f>INDEX(QuocGia!$A:$A,MATCH(DanhsachNguoiluutru!M37,QuocGia!$B:$B,0))</f>
        <v>VN</v>
      </c>
      <c r="Q35" s="18" t="str">
        <f>DanhsachNguoiluutru!M37</f>
        <v>Cộng hòa xã hội chủ nghĩa Việt Nam</v>
      </c>
      <c r="R35" s="18" t="str">
        <f>INDEX(TinhThanh!$C:$C,MATCH(DanhsachNguoiluutru!N37,TinhThanh!$B:$B,0))</f>
        <v>36</v>
      </c>
      <c r="S35" s="18" t="str">
        <f ca="1">INDEX(OFFSET(QuanHuyen!$C$1,MATCH(extracted!$R35,QuanHuyen!$A:$A,0)-1,0,10000,1),MATCH(DanhsachNguoiluutru!$O37,OFFSET(QuanHuyen!$B$1,MATCH(extracted!$R35,QuanHuyen!$A:$A,0)-1,0,10000,1), 0))</f>
        <v>359</v>
      </c>
      <c r="T35" s="18" t="str">
        <f ca="1">INDEX(OFFSET(PhuongXa!$C$1,MATCH(extracted!$S35,PhuongXa!$A:$A,0)-1,0,10000,1),MATCH(DanhsachNguoiluutru!$P37,OFFSET(PhuongXa!$B$1,MATCH(extracted!$S35,PhuongXa!$A:$A,0)-1,0,10000,1), 0))</f>
        <v>13750</v>
      </c>
      <c r="U35" s="18" t="str">
        <f>DanhsachNguoiluutru!Q37</f>
        <v>Tân Khánh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>Tân Khánh, Xã Tân Khánh, Huyện Vụ Bản, Tỉnh Nam Định</v>
      </c>
      <c r="W35" s="18">
        <f>VLOOKUP(DanhsachNguoiluutru!$R37,DanhMuc!$A$2:$B$4,2,FALSE)</f>
        <v>1</v>
      </c>
      <c r="X35" s="18" t="str">
        <f>DanhsachNguoiluutru!R37</f>
        <v>Tạm trú</v>
      </c>
      <c r="Y35" s="18" t="str">
        <f>DanhsachNguoiluutru!S37</f>
        <v>07/07/2023</v>
      </c>
      <c r="Z35" s="18" t="str">
        <f>DanhsachNguoiluutru!T37</f>
        <v>09/07/2023</v>
      </c>
      <c r="AA35" s="18" t="str">
        <f>DanhsachNguoiluutru!U37</f>
        <v>Du Lịch</v>
      </c>
      <c r="AB35" s="18">
        <f>DanhsachNguoiluutru!V37</f>
        <v>302</v>
      </c>
    </row>
    <row r="36" spans="1:28" x14ac:dyDescent="0.3">
      <c r="A36" s="18" t="str">
        <f>DanhsachNguoiluutru!B38</f>
        <v>Trịnh Đình Tuấn</v>
      </c>
      <c r="B36" s="18" t="str">
        <f>DanhsachNguoiluutru!C38</f>
        <v>10/09/1988</v>
      </c>
      <c r="C36" s="18" t="str">
        <f>INDEX(GioiTinh!$A:$A,MATCH(DanhsachNguoiluutru!D38,GioiTinh!$B:$B,0))</f>
        <v>2</v>
      </c>
      <c r="D36" s="18" t="str">
        <f>DanhsachNguoiluutru!D38</f>
        <v>Giới tính Nam</v>
      </c>
      <c r="E36" s="18" t="str">
        <f>DanhsachNguoiluutru!E38</f>
        <v>019088987340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str">
        <f>INDEX(NgheNghiep!$A:$A,MATCH(DanhsachNguoiluutru!I38,NgheNghiep!$B:$B,0))</f>
        <v>TUDO</v>
      </c>
      <c r="J36" s="18" t="str">
        <f>DanhsachNguoiluutru!I38</f>
        <v>Tự do</v>
      </c>
      <c r="K36" s="18" t="str">
        <f>DanhsachNguoiluutru!J38</f>
        <v>Tân Khánh</v>
      </c>
      <c r="L36" s="18" t="str">
        <f>INDEX(DanToc!$A:$A,MATCH(DanhsachNguoiluutru!K38,DanToc!$B:$B,0))</f>
        <v>01</v>
      </c>
      <c r="M36" s="18" t="str">
        <f>DanhsachNguoiluutru!K38</f>
        <v>Kinh</v>
      </c>
      <c r="N36" s="18" t="str">
        <f>INDEX(QuocTich!$A:$A,MATCH(DanhsachNguoiluutru!L38,QuocTich!$B:$B,0))</f>
        <v>VN</v>
      </c>
      <c r="O36" s="18" t="str">
        <f>DanhsachNguoiluutru!L38</f>
        <v>Việt Nam</v>
      </c>
      <c r="P36" s="18" t="str">
        <f>INDEX(QuocGia!$A:$A,MATCH(DanhsachNguoiluutru!M38,QuocGia!$B:$B,0))</f>
        <v>VN</v>
      </c>
      <c r="Q36" s="18" t="str">
        <f>DanhsachNguoiluutru!M38</f>
        <v>Cộng hòa xã hội chủ nghĩa Việt Nam</v>
      </c>
      <c r="R36" s="18" t="str">
        <f>INDEX(TinhThanh!$C:$C,MATCH(DanhsachNguoiluutru!N38,TinhThanh!$B:$B,0))</f>
        <v>36</v>
      </c>
      <c r="S36" s="18" t="str">
        <f ca="1">INDEX(OFFSET(QuanHuyen!$C$1,MATCH(extracted!$R36,QuanHuyen!$A:$A,0)-1,0,10000,1),MATCH(DanhsachNguoiluutru!$O38,OFFSET(QuanHuyen!$B$1,MATCH(extracted!$R36,QuanHuyen!$A:$A,0)-1,0,10000,1), 0))</f>
        <v>359</v>
      </c>
      <c r="T36" s="18" t="str">
        <f ca="1">INDEX(OFFSET(PhuongXa!$C$1,MATCH(extracted!$S36,PhuongXa!$A:$A,0)-1,0,10000,1),MATCH(DanhsachNguoiluutru!$P38,OFFSET(PhuongXa!$B$1,MATCH(extracted!$S36,PhuongXa!$A:$A,0)-1,0,10000,1), 0))</f>
        <v>13750</v>
      </c>
      <c r="U36" s="18" t="str">
        <f>DanhsachNguoiluutru!Q38</f>
        <v>Tân Khánh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>Tân Khánh, Xã Tân Khánh, Huyện Vụ Bản, Tỉnh Nam Định</v>
      </c>
      <c r="W36" s="18">
        <f>VLOOKUP(DanhsachNguoiluutru!$R38,DanhMuc!$A$2:$B$4,2,FALSE)</f>
        <v>1</v>
      </c>
      <c r="X36" s="18" t="str">
        <f>DanhsachNguoiluutru!R38</f>
        <v>Tạm trú</v>
      </c>
      <c r="Y36" s="18" t="str">
        <f>DanhsachNguoiluutru!S38</f>
        <v>07/07/2023</v>
      </c>
      <c r="Z36" s="18" t="str">
        <f>DanhsachNguoiluutru!T38</f>
        <v>09/07/2023</v>
      </c>
      <c r="AA36" s="18" t="str">
        <f>DanhsachNguoiluutru!U38</f>
        <v>Du Lịch</v>
      </c>
      <c r="AB36" s="18">
        <f>DanhsachNguoiluutru!V38</f>
        <v>302</v>
      </c>
    </row>
    <row r="37" spans="1:28" x14ac:dyDescent="0.3">
      <c r="A37" s="18" t="str">
        <f>DanhsachNguoiluutru!B39</f>
        <v>Lý Tuấn Dương</v>
      </c>
      <c r="B37" s="18" t="str">
        <f>DanhsachNguoiluutru!C39</f>
        <v>08/08/1983</v>
      </c>
      <c r="C37" s="18" t="str">
        <f>INDEX(GioiTinh!$A:$A,MATCH(DanhsachNguoiluutru!D39,GioiTinh!$B:$B,0))</f>
        <v>2</v>
      </c>
      <c r="D37" s="18" t="str">
        <f>DanhsachNguoiluutru!D39</f>
        <v>Giới tính Nam</v>
      </c>
      <c r="E37" s="18" t="str">
        <f>DanhsachNguoiluutru!E39</f>
        <v>019083736148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str">
        <f>INDEX(NgheNghiep!$A:$A,MATCH(DanhsachNguoiluutru!I39,NgheNghiep!$B:$B,0))</f>
        <v>TUDO</v>
      </c>
      <c r="J37" s="18" t="str">
        <f>DanhsachNguoiluutru!I39</f>
        <v>Tự do</v>
      </c>
      <c r="K37" s="18" t="str">
        <f>DanhsachNguoiluutru!J39</f>
        <v>Tân Khánh</v>
      </c>
      <c r="L37" s="18" t="str">
        <f>INDEX(DanToc!$A:$A,MATCH(DanhsachNguoiluutru!K39,DanToc!$B:$B,0))</f>
        <v>01</v>
      </c>
      <c r="M37" s="18" t="str">
        <f>DanhsachNguoiluutru!K39</f>
        <v>Kinh</v>
      </c>
      <c r="N37" s="18" t="str">
        <f>INDEX(QuocTich!$A:$A,MATCH(DanhsachNguoiluutru!L39,QuocTich!$B:$B,0))</f>
        <v>VN</v>
      </c>
      <c r="O37" s="18" t="str">
        <f>DanhsachNguoiluutru!L39</f>
        <v>Việt Nam</v>
      </c>
      <c r="P37" s="18" t="str">
        <f>INDEX(QuocGia!$A:$A,MATCH(DanhsachNguoiluutru!M39,QuocGia!$B:$B,0))</f>
        <v>VN</v>
      </c>
      <c r="Q37" s="18" t="str">
        <f>DanhsachNguoiluutru!M39</f>
        <v>Cộng hòa xã hội chủ nghĩa Việt Nam</v>
      </c>
      <c r="R37" s="18" t="str">
        <f>INDEX(TinhThanh!$C:$C,MATCH(DanhsachNguoiluutru!N39,TinhThanh!$B:$B,0))</f>
        <v>36</v>
      </c>
      <c r="S37" s="18" t="str">
        <f ca="1">INDEX(OFFSET(QuanHuyen!$C$1,MATCH(extracted!$R37,QuanHuyen!$A:$A,0)-1,0,10000,1),MATCH(DanhsachNguoiluutru!$O39,OFFSET(QuanHuyen!$B$1,MATCH(extracted!$R37,QuanHuyen!$A:$A,0)-1,0,10000,1), 0))</f>
        <v>359</v>
      </c>
      <c r="T37" s="18" t="str">
        <f ca="1">INDEX(OFFSET(PhuongXa!$C$1,MATCH(extracted!$S37,PhuongXa!$A:$A,0)-1,0,10000,1),MATCH(DanhsachNguoiluutru!$P39,OFFSET(PhuongXa!$B$1,MATCH(extracted!$S37,PhuongXa!$A:$A,0)-1,0,10000,1), 0))</f>
        <v>13750</v>
      </c>
      <c r="U37" s="18" t="str">
        <f>DanhsachNguoiluutru!Q39</f>
        <v>Tân Khánh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>Tân Khánh, Xã Tân Khánh, Huyện Vụ Bản, Tỉnh Nam Định</v>
      </c>
      <c r="W37" s="18">
        <f>VLOOKUP(DanhsachNguoiluutru!$R39,DanhMuc!$A$2:$B$4,2,FALSE)</f>
        <v>1</v>
      </c>
      <c r="X37" s="18" t="str">
        <f>DanhsachNguoiluutru!R39</f>
        <v>Tạm trú</v>
      </c>
      <c r="Y37" s="18" t="str">
        <f>DanhsachNguoiluutru!S39</f>
        <v>07/07/2023</v>
      </c>
      <c r="Z37" s="18" t="str">
        <f>DanhsachNguoiluutru!T39</f>
        <v>09/07/2023</v>
      </c>
      <c r="AA37" s="18" t="str">
        <f>DanhsachNguoiluutru!U39</f>
        <v>Du Lịch</v>
      </c>
      <c r="AB37" s="18">
        <f>DanhsachNguoiluutru!V39</f>
        <v>303</v>
      </c>
    </row>
    <row r="38" spans="1:28" x14ac:dyDescent="0.3">
      <c r="A38" s="18" t="str">
        <f>DanhsachNguoiluutru!B40</f>
        <v>Mai Thị Nhi</v>
      </c>
      <c r="B38" s="18" t="str">
        <f>DanhsachNguoiluutru!C40</f>
        <v>08/08/1994</v>
      </c>
      <c r="C38" s="18" t="str">
        <f>INDEX(GioiTinh!$A:$A,MATCH(DanhsachNguoiluutru!D40,GioiTinh!$B:$B,0))</f>
        <v>3</v>
      </c>
      <c r="D38" s="18" t="str">
        <f>DanhsachNguoiluutru!D40</f>
        <v>Giới tính Nữ</v>
      </c>
      <c r="E38" s="18" t="str">
        <f>DanhsachNguoiluutru!E40</f>
        <v>019194223460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str">
        <f>INDEX(NgheNghiep!$A:$A,MATCH(DanhsachNguoiluutru!I40,NgheNghiep!$B:$B,0))</f>
        <v>TUDO</v>
      </c>
      <c r="J38" s="18" t="str">
        <f>DanhsachNguoiluutru!I40</f>
        <v>Tự do</v>
      </c>
      <c r="K38" s="18" t="str">
        <f>DanhsachNguoiluutru!J40</f>
        <v>Tân Khánh</v>
      </c>
      <c r="L38" s="18" t="str">
        <f>INDEX(DanToc!$A:$A,MATCH(DanhsachNguoiluutru!K40,DanToc!$B:$B,0))</f>
        <v>01</v>
      </c>
      <c r="M38" s="18" t="str">
        <f>DanhsachNguoiluutru!K40</f>
        <v>Kinh</v>
      </c>
      <c r="N38" s="18" t="str">
        <f>INDEX(QuocTich!$A:$A,MATCH(DanhsachNguoiluutru!L40,QuocTich!$B:$B,0))</f>
        <v>VN</v>
      </c>
      <c r="O38" s="18" t="str">
        <f>DanhsachNguoiluutru!L40</f>
        <v>Việt Nam</v>
      </c>
      <c r="P38" s="18" t="str">
        <f>INDEX(QuocGia!$A:$A,MATCH(DanhsachNguoiluutru!M40,QuocGia!$B:$B,0))</f>
        <v>VN</v>
      </c>
      <c r="Q38" s="18" t="str">
        <f>DanhsachNguoiluutru!M40</f>
        <v>Cộng hòa xã hội chủ nghĩa Việt Nam</v>
      </c>
      <c r="R38" s="18" t="str">
        <f>INDEX(TinhThanh!$C:$C,MATCH(DanhsachNguoiluutru!N40,TinhThanh!$B:$B,0))</f>
        <v>36</v>
      </c>
      <c r="S38" s="18" t="str">
        <f ca="1">INDEX(OFFSET(QuanHuyen!$C$1,MATCH(extracted!$R38,QuanHuyen!$A:$A,0)-1,0,10000,1),MATCH(DanhsachNguoiluutru!$O40,OFFSET(QuanHuyen!$B$1,MATCH(extracted!$R38,QuanHuyen!$A:$A,0)-1,0,10000,1), 0))</f>
        <v>359</v>
      </c>
      <c r="T38" s="18" t="str">
        <f ca="1">INDEX(OFFSET(PhuongXa!$C$1,MATCH(extracted!$S38,PhuongXa!$A:$A,0)-1,0,10000,1),MATCH(DanhsachNguoiluutru!$P40,OFFSET(PhuongXa!$B$1,MATCH(extracted!$S38,PhuongXa!$A:$A,0)-1,0,10000,1), 0))</f>
        <v>13750</v>
      </c>
      <c r="U38" s="18" t="str">
        <f>DanhsachNguoiluutru!Q40</f>
        <v>Tân Khánh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>Tân Khánh, Xã Tân Khánh, Huyện Vụ Bản, Tỉnh Nam Định</v>
      </c>
      <c r="W38" s="18">
        <f>VLOOKUP(DanhsachNguoiluutru!$R40,DanhMuc!$A$2:$B$4,2,FALSE)</f>
        <v>1</v>
      </c>
      <c r="X38" s="18" t="str">
        <f>DanhsachNguoiluutru!R40</f>
        <v>Tạm trú</v>
      </c>
      <c r="Y38" s="18" t="str">
        <f>DanhsachNguoiluutru!S40</f>
        <v>07/07/2023</v>
      </c>
      <c r="Z38" s="18" t="str">
        <f>DanhsachNguoiluutru!T40</f>
        <v>09/07/2023</v>
      </c>
      <c r="AA38" s="18" t="str">
        <f>DanhsachNguoiluutru!U40</f>
        <v>Du Lịch</v>
      </c>
      <c r="AB38" s="18">
        <f>DanhsachNguoiluutru!V40</f>
        <v>303</v>
      </c>
    </row>
    <row r="39" spans="1:28" x14ac:dyDescent="0.3">
      <c r="A39" s="18" t="str">
        <f>DanhsachNguoiluutru!B41</f>
        <v>Bùi Đức Linh</v>
      </c>
      <c r="B39" s="18" t="str">
        <f>DanhsachNguoiluutru!C41</f>
        <v>24/05/1987</v>
      </c>
      <c r="C39" s="18" t="str">
        <f>INDEX(GioiTinh!$A:$A,MATCH(DanhsachNguoiluutru!D41,GioiTinh!$B:$B,0))</f>
        <v>2</v>
      </c>
      <c r="D39" s="18" t="str">
        <f>DanhsachNguoiluutru!D41</f>
        <v>Giới tính Nam</v>
      </c>
      <c r="E39" s="18" t="str">
        <f>DanhsachNguoiluutru!E41</f>
        <v>019087988608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str">
        <f>INDEX(NgheNghiep!$A:$A,MATCH(DanhsachNguoiluutru!I41,NgheNghiep!$B:$B,0))</f>
        <v>TUDO</v>
      </c>
      <c r="J39" s="18" t="str">
        <f>DanhsachNguoiluutru!I41</f>
        <v>Tự do</v>
      </c>
      <c r="K39" s="18" t="str">
        <f>DanhsachNguoiluutru!J41</f>
        <v>Tân Khánh</v>
      </c>
      <c r="L39" s="18" t="str">
        <f>INDEX(DanToc!$A:$A,MATCH(DanhsachNguoiluutru!K41,DanToc!$B:$B,0))</f>
        <v>01</v>
      </c>
      <c r="M39" s="18" t="str">
        <f>DanhsachNguoiluutru!K41</f>
        <v>Kinh</v>
      </c>
      <c r="N39" s="18" t="str">
        <f>INDEX(QuocTich!$A:$A,MATCH(DanhsachNguoiluutru!L41,QuocTich!$B:$B,0))</f>
        <v>VN</v>
      </c>
      <c r="O39" s="18" t="str">
        <f>DanhsachNguoiluutru!L41</f>
        <v>Việt Nam</v>
      </c>
      <c r="P39" s="18" t="str">
        <f>INDEX(QuocGia!$A:$A,MATCH(DanhsachNguoiluutru!M41,QuocGia!$B:$B,0))</f>
        <v>VN</v>
      </c>
      <c r="Q39" s="18" t="str">
        <f>DanhsachNguoiluutru!M41</f>
        <v>Cộng hòa xã hội chủ nghĩa Việt Nam</v>
      </c>
      <c r="R39" s="18" t="str">
        <f>INDEX(TinhThanh!$C:$C,MATCH(DanhsachNguoiluutru!N41,TinhThanh!$B:$B,0))</f>
        <v>36</v>
      </c>
      <c r="S39" s="18" t="str">
        <f ca="1">INDEX(OFFSET(QuanHuyen!$C$1,MATCH(extracted!$R39,QuanHuyen!$A:$A,0)-1,0,10000,1),MATCH(DanhsachNguoiluutru!$O41,OFFSET(QuanHuyen!$B$1,MATCH(extracted!$R39,QuanHuyen!$A:$A,0)-1,0,10000,1), 0))</f>
        <v>359</v>
      </c>
      <c r="T39" s="18" t="str">
        <f ca="1">INDEX(OFFSET(PhuongXa!$C$1,MATCH(extracted!$S39,PhuongXa!$A:$A,0)-1,0,10000,1),MATCH(DanhsachNguoiluutru!$P41,OFFSET(PhuongXa!$B$1,MATCH(extracted!$S39,PhuongXa!$A:$A,0)-1,0,10000,1), 0))</f>
        <v>13750</v>
      </c>
      <c r="U39" s="18" t="str">
        <f>DanhsachNguoiluutru!Q41</f>
        <v>Tân Khánh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>Tân Khánh, Xã Tân Khánh, Huyện Vụ Bản, Tỉnh Nam Định</v>
      </c>
      <c r="W39" s="18">
        <f>VLOOKUP(DanhsachNguoiluutru!$R41,DanhMuc!$A$2:$B$4,2,FALSE)</f>
        <v>1</v>
      </c>
      <c r="X39" s="18" t="str">
        <f>DanhsachNguoiluutru!R41</f>
        <v>Tạm trú</v>
      </c>
      <c r="Y39" s="18" t="str">
        <f>DanhsachNguoiluutru!S41</f>
        <v>07/07/2023</v>
      </c>
      <c r="Z39" s="18" t="str">
        <f>DanhsachNguoiluutru!T41</f>
        <v>09/07/2023</v>
      </c>
      <c r="AA39" s="18" t="str">
        <f>DanhsachNguoiluutru!U41</f>
        <v>Du Lịch</v>
      </c>
      <c r="AB39" s="18">
        <f>DanhsachNguoiluutru!V41</f>
        <v>303</v>
      </c>
    </row>
    <row r="40" spans="1:28" x14ac:dyDescent="0.3">
      <c r="A40" s="18" t="str">
        <f>DanhsachNguoiluutru!B42</f>
        <v>Hà Linh Phương</v>
      </c>
      <c r="B40" s="18" t="str">
        <f>DanhsachNguoiluutru!C42</f>
        <v>08/05/1986</v>
      </c>
      <c r="C40" s="18" t="str">
        <f>INDEX(GioiTinh!$A:$A,MATCH(DanhsachNguoiluutru!D42,GioiTinh!$B:$B,0))</f>
        <v>3</v>
      </c>
      <c r="D40" s="18" t="str">
        <f>DanhsachNguoiluutru!D42</f>
        <v>Giới tính Nữ</v>
      </c>
      <c r="E40" s="18" t="str">
        <f>DanhsachNguoiluutru!E42</f>
        <v>019186192845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str">
        <f>INDEX(NgheNghiep!$A:$A,MATCH(DanhsachNguoiluutru!I42,NgheNghiep!$B:$B,0))</f>
        <v>TUDO</v>
      </c>
      <c r="J40" s="18" t="str">
        <f>DanhsachNguoiluutru!I42</f>
        <v>Tự do</v>
      </c>
      <c r="K40" s="18" t="str">
        <f>DanhsachNguoiluutru!J42</f>
        <v>Tân Khánh</v>
      </c>
      <c r="L40" s="18" t="str">
        <f>INDEX(DanToc!$A:$A,MATCH(DanhsachNguoiluutru!K42,DanToc!$B:$B,0))</f>
        <v>01</v>
      </c>
      <c r="M40" s="18" t="str">
        <f>DanhsachNguoiluutru!K42</f>
        <v>Kinh</v>
      </c>
      <c r="N40" s="18" t="str">
        <f>INDEX(QuocTich!$A:$A,MATCH(DanhsachNguoiluutru!L42,QuocTich!$B:$B,0))</f>
        <v>VN</v>
      </c>
      <c r="O40" s="18" t="str">
        <f>DanhsachNguoiluutru!L42</f>
        <v>Việt Nam</v>
      </c>
      <c r="P40" s="18" t="str">
        <f>INDEX(QuocGia!$A:$A,MATCH(DanhsachNguoiluutru!M42,QuocGia!$B:$B,0))</f>
        <v>VN</v>
      </c>
      <c r="Q40" s="18" t="str">
        <f>DanhsachNguoiluutru!M42</f>
        <v>Cộng hòa xã hội chủ nghĩa Việt Nam</v>
      </c>
      <c r="R40" s="18" t="str">
        <f>INDEX(TinhThanh!$C:$C,MATCH(DanhsachNguoiluutru!N42,TinhThanh!$B:$B,0))</f>
        <v>36</v>
      </c>
      <c r="S40" s="18" t="str">
        <f ca="1">INDEX(OFFSET(QuanHuyen!$C$1,MATCH(extracted!$R40,QuanHuyen!$A:$A,0)-1,0,10000,1),MATCH(DanhsachNguoiluutru!$O42,OFFSET(QuanHuyen!$B$1,MATCH(extracted!$R40,QuanHuyen!$A:$A,0)-1,0,10000,1), 0))</f>
        <v>359</v>
      </c>
      <c r="T40" s="18" t="str">
        <f ca="1">INDEX(OFFSET(PhuongXa!$C$1,MATCH(extracted!$S40,PhuongXa!$A:$A,0)-1,0,10000,1),MATCH(DanhsachNguoiluutru!$P42,OFFSET(PhuongXa!$B$1,MATCH(extracted!$S40,PhuongXa!$A:$A,0)-1,0,10000,1), 0))</f>
        <v>13750</v>
      </c>
      <c r="U40" s="18" t="str">
        <f>DanhsachNguoiluutru!Q42</f>
        <v>Tân Khánh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>Tân Khánh, Xã Tân Khánh, Huyện Vụ Bản, Tỉnh Nam Định</v>
      </c>
      <c r="W40" s="18">
        <f>VLOOKUP(DanhsachNguoiluutru!$R42,DanhMuc!$A$2:$B$4,2,FALSE)</f>
        <v>1</v>
      </c>
      <c r="X40" s="18" t="str">
        <f>DanhsachNguoiluutru!R42</f>
        <v>Tạm trú</v>
      </c>
      <c r="Y40" s="18" t="str">
        <f>DanhsachNguoiluutru!S42</f>
        <v>07/07/2023</v>
      </c>
      <c r="Z40" s="18" t="str">
        <f>DanhsachNguoiluutru!T42</f>
        <v>09/07/2023</v>
      </c>
      <c r="AA40" s="18" t="str">
        <f>DanhsachNguoiluutru!U42</f>
        <v>Du Lịch</v>
      </c>
      <c r="AB40" s="18">
        <f>DanhsachNguoiluutru!V42</f>
        <v>303</v>
      </c>
    </row>
    <row r="41" spans="1:28" x14ac:dyDescent="0.3">
      <c r="A41" s="18" t="str">
        <f>DanhsachNguoiluutru!B43</f>
        <v>Nguyễn Thành Sơn</v>
      </c>
      <c r="B41" s="18" t="str">
        <f>DanhsachNguoiluutru!C43</f>
        <v>28/05/1982</v>
      </c>
      <c r="C41" s="18" t="str">
        <f>INDEX(GioiTinh!$A:$A,MATCH(DanhsachNguoiluutru!D43,GioiTinh!$B:$B,0))</f>
        <v>2</v>
      </c>
      <c r="D41" s="18" t="str">
        <f>DanhsachNguoiluutru!D43</f>
        <v>Giới tính Nam</v>
      </c>
      <c r="E41" s="18" t="str">
        <f>DanhsachNguoiluutru!E43</f>
        <v>019082832230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str">
        <f>INDEX(NgheNghiep!$A:$A,MATCH(DanhsachNguoiluutru!I43,NgheNghiep!$B:$B,0))</f>
        <v>TUDO</v>
      </c>
      <c r="J41" s="18" t="str">
        <f>DanhsachNguoiluutru!I43</f>
        <v>Tự do</v>
      </c>
      <c r="K41" s="18" t="str">
        <f>DanhsachNguoiluutru!J43</f>
        <v>Tân Khánh</v>
      </c>
      <c r="L41" s="18" t="str">
        <f>INDEX(DanToc!$A:$A,MATCH(DanhsachNguoiluutru!K43,DanToc!$B:$B,0))</f>
        <v>01</v>
      </c>
      <c r="M41" s="18" t="str">
        <f>DanhsachNguoiluutru!K43</f>
        <v>Kinh</v>
      </c>
      <c r="N41" s="18" t="str">
        <f>INDEX(QuocTich!$A:$A,MATCH(DanhsachNguoiluutru!L43,QuocTich!$B:$B,0))</f>
        <v>VN</v>
      </c>
      <c r="O41" s="18" t="str">
        <f>DanhsachNguoiluutru!L43</f>
        <v>Việt Nam</v>
      </c>
      <c r="P41" s="18" t="str">
        <f>INDEX(QuocGia!$A:$A,MATCH(DanhsachNguoiluutru!M43,QuocGia!$B:$B,0))</f>
        <v>VN</v>
      </c>
      <c r="Q41" s="18" t="str">
        <f>DanhsachNguoiluutru!M43</f>
        <v>Cộng hòa xã hội chủ nghĩa Việt Nam</v>
      </c>
      <c r="R41" s="18" t="str">
        <f>INDEX(TinhThanh!$C:$C,MATCH(DanhsachNguoiluutru!N43,TinhThanh!$B:$B,0))</f>
        <v>36</v>
      </c>
      <c r="S41" s="18" t="str">
        <f ca="1">INDEX(OFFSET(QuanHuyen!$C$1,MATCH(extracted!$R41,QuanHuyen!$A:$A,0)-1,0,10000,1),MATCH(DanhsachNguoiluutru!$O43,OFFSET(QuanHuyen!$B$1,MATCH(extracted!$R41,QuanHuyen!$A:$A,0)-1,0,10000,1), 0))</f>
        <v>359</v>
      </c>
      <c r="T41" s="18" t="str">
        <f ca="1">INDEX(OFFSET(PhuongXa!$C$1,MATCH(extracted!$S41,PhuongXa!$A:$A,0)-1,0,10000,1),MATCH(DanhsachNguoiluutru!$P43,OFFSET(PhuongXa!$B$1,MATCH(extracted!$S41,PhuongXa!$A:$A,0)-1,0,10000,1), 0))</f>
        <v>13750</v>
      </c>
      <c r="U41" s="18" t="str">
        <f>DanhsachNguoiluutru!Q43</f>
        <v>Tân Khánh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>Tân Khánh, Xã Tân Khánh, Huyện Vụ Bản, Tỉnh Nam Định</v>
      </c>
      <c r="W41" s="18">
        <f>VLOOKUP(DanhsachNguoiluutru!$R43,DanhMuc!$A$2:$B$4,2,FALSE)</f>
        <v>1</v>
      </c>
      <c r="X41" s="18" t="str">
        <f>DanhsachNguoiluutru!R43</f>
        <v>Tạm trú</v>
      </c>
      <c r="Y41" s="18" t="str">
        <f>DanhsachNguoiluutru!S43</f>
        <v>07/07/2023</v>
      </c>
      <c r="Z41" s="18" t="str">
        <f>DanhsachNguoiluutru!T43</f>
        <v>09/07/2023</v>
      </c>
      <c r="AA41" s="18" t="str">
        <f>DanhsachNguoiluutru!U43</f>
        <v>Du Lịch</v>
      </c>
      <c r="AB41" s="18">
        <f>DanhsachNguoiluutru!V43</f>
        <v>304</v>
      </c>
    </row>
    <row r="42" spans="1:28" x14ac:dyDescent="0.3">
      <c r="A42" s="18" t="str">
        <f>DanhsachNguoiluutru!B44</f>
        <v>Trần Ngọc Yến</v>
      </c>
      <c r="B42" s="18" t="str">
        <f>DanhsachNguoiluutru!C44</f>
        <v>15/01/1985</v>
      </c>
      <c r="C42" s="18" t="str">
        <f>INDEX(GioiTinh!$A:$A,MATCH(DanhsachNguoiluutru!D44,GioiTinh!$B:$B,0))</f>
        <v>3</v>
      </c>
      <c r="D42" s="18" t="str">
        <f>DanhsachNguoiluutru!D44</f>
        <v>Giới tính Nữ</v>
      </c>
      <c r="E42" s="18" t="str">
        <f>DanhsachNguoiluutru!E44</f>
        <v>019185294295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str">
        <f>INDEX(NgheNghiep!$A:$A,MATCH(DanhsachNguoiluutru!I44,NgheNghiep!$B:$B,0))</f>
        <v>TUDO</v>
      </c>
      <c r="J42" s="18" t="str">
        <f>DanhsachNguoiluutru!I44</f>
        <v>Tự do</v>
      </c>
      <c r="K42" s="18" t="str">
        <f>DanhsachNguoiluutru!J44</f>
        <v>Tân Khánh</v>
      </c>
      <c r="L42" s="18" t="str">
        <f>INDEX(DanToc!$A:$A,MATCH(DanhsachNguoiluutru!K44,DanToc!$B:$B,0))</f>
        <v>01</v>
      </c>
      <c r="M42" s="18" t="str">
        <f>DanhsachNguoiluutru!K44</f>
        <v>Kinh</v>
      </c>
      <c r="N42" s="18" t="str">
        <f>INDEX(QuocTich!$A:$A,MATCH(DanhsachNguoiluutru!L44,QuocTich!$B:$B,0))</f>
        <v>VN</v>
      </c>
      <c r="O42" s="18" t="str">
        <f>DanhsachNguoiluutru!L44</f>
        <v>Việt Nam</v>
      </c>
      <c r="P42" s="18" t="str">
        <f>INDEX(QuocGia!$A:$A,MATCH(DanhsachNguoiluutru!M44,QuocGia!$B:$B,0))</f>
        <v>VN</v>
      </c>
      <c r="Q42" s="18" t="str">
        <f>DanhsachNguoiluutru!M44</f>
        <v>Cộng hòa xã hội chủ nghĩa Việt Nam</v>
      </c>
      <c r="R42" s="18" t="str">
        <f>INDEX(TinhThanh!$C:$C,MATCH(DanhsachNguoiluutru!N44,TinhThanh!$B:$B,0))</f>
        <v>36</v>
      </c>
      <c r="S42" s="18" t="str">
        <f ca="1">INDEX(OFFSET(QuanHuyen!$C$1,MATCH(extracted!$R42,QuanHuyen!$A:$A,0)-1,0,10000,1),MATCH(DanhsachNguoiluutru!$O44,OFFSET(QuanHuyen!$B$1,MATCH(extracted!$R42,QuanHuyen!$A:$A,0)-1,0,10000,1), 0))</f>
        <v>359</v>
      </c>
      <c r="T42" s="18" t="str">
        <f ca="1">INDEX(OFFSET(PhuongXa!$C$1,MATCH(extracted!$S42,PhuongXa!$A:$A,0)-1,0,10000,1),MATCH(DanhsachNguoiluutru!$P44,OFFSET(PhuongXa!$B$1,MATCH(extracted!$S42,PhuongXa!$A:$A,0)-1,0,10000,1), 0))</f>
        <v>13750</v>
      </c>
      <c r="U42" s="18" t="str">
        <f>DanhsachNguoiluutru!Q44</f>
        <v>Tân Khánh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>Tân Khánh, Xã Tân Khánh, Huyện Vụ Bản, Tỉnh Nam Định</v>
      </c>
      <c r="W42" s="18">
        <f>VLOOKUP(DanhsachNguoiluutru!$R44,DanhMuc!$A$2:$B$4,2,FALSE)</f>
        <v>1</v>
      </c>
      <c r="X42" s="18" t="str">
        <f>DanhsachNguoiluutru!R44</f>
        <v>Tạm trú</v>
      </c>
      <c r="Y42" s="18" t="str">
        <f>DanhsachNguoiluutru!S44</f>
        <v>07/07/2023</v>
      </c>
      <c r="Z42" s="18" t="str">
        <f>DanhsachNguoiluutru!T44</f>
        <v>09/07/2023</v>
      </c>
      <c r="AA42" s="18" t="str">
        <f>DanhsachNguoiluutru!U44</f>
        <v>Du Lịch</v>
      </c>
      <c r="AB42" s="18">
        <f>DanhsachNguoiluutru!V44</f>
        <v>304</v>
      </c>
    </row>
    <row r="43" spans="1:28" x14ac:dyDescent="0.3">
      <c r="A43" s="18" t="str">
        <f>DanhsachNguoiluutru!B45</f>
        <v>Dương Hải Bình</v>
      </c>
      <c r="B43" s="18" t="str">
        <f>DanhsachNguoiluutru!C45</f>
        <v>02/07/1989</v>
      </c>
      <c r="C43" s="18" t="str">
        <f>INDEX(GioiTinh!$A:$A,MATCH(DanhsachNguoiluutru!D45,GioiTinh!$B:$B,0))</f>
        <v>2</v>
      </c>
      <c r="D43" s="18" t="str">
        <f>DanhsachNguoiluutru!D45</f>
        <v>Giới tính Nam</v>
      </c>
      <c r="E43" s="18" t="str">
        <f>DanhsachNguoiluutru!E45</f>
        <v>019089406047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str">
        <f>INDEX(NgheNghiep!$A:$A,MATCH(DanhsachNguoiluutru!I45,NgheNghiep!$B:$B,0))</f>
        <v>TUDO</v>
      </c>
      <c r="J43" s="18" t="str">
        <f>DanhsachNguoiluutru!I45</f>
        <v>Tự do</v>
      </c>
      <c r="K43" s="18" t="str">
        <f>DanhsachNguoiluutru!J45</f>
        <v>Tân Khánh</v>
      </c>
      <c r="L43" s="18" t="str">
        <f>INDEX(DanToc!$A:$A,MATCH(DanhsachNguoiluutru!K45,DanToc!$B:$B,0))</f>
        <v>01</v>
      </c>
      <c r="M43" s="18" t="str">
        <f>DanhsachNguoiluutru!K45</f>
        <v>Kinh</v>
      </c>
      <c r="N43" s="18" t="str">
        <f>INDEX(QuocTich!$A:$A,MATCH(DanhsachNguoiluutru!L45,QuocTich!$B:$B,0))</f>
        <v>VN</v>
      </c>
      <c r="O43" s="18" t="str">
        <f>DanhsachNguoiluutru!L45</f>
        <v>Việt Nam</v>
      </c>
      <c r="P43" s="18" t="str">
        <f>INDEX(QuocGia!$A:$A,MATCH(DanhsachNguoiluutru!M45,QuocGia!$B:$B,0))</f>
        <v>VN</v>
      </c>
      <c r="Q43" s="18" t="str">
        <f>DanhsachNguoiluutru!M45</f>
        <v>Cộng hòa xã hội chủ nghĩa Việt Nam</v>
      </c>
      <c r="R43" s="18" t="str">
        <f>INDEX(TinhThanh!$C:$C,MATCH(DanhsachNguoiluutru!N45,TinhThanh!$B:$B,0))</f>
        <v>36</v>
      </c>
      <c r="S43" s="18" t="str">
        <f ca="1">INDEX(OFFSET(QuanHuyen!$C$1,MATCH(extracted!$R43,QuanHuyen!$A:$A,0)-1,0,10000,1),MATCH(DanhsachNguoiluutru!$O45,OFFSET(QuanHuyen!$B$1,MATCH(extracted!$R43,QuanHuyen!$A:$A,0)-1,0,10000,1), 0))</f>
        <v>359</v>
      </c>
      <c r="T43" s="18" t="str">
        <f ca="1">INDEX(OFFSET(PhuongXa!$C$1,MATCH(extracted!$S43,PhuongXa!$A:$A,0)-1,0,10000,1),MATCH(DanhsachNguoiluutru!$P45,OFFSET(PhuongXa!$B$1,MATCH(extracted!$S43,PhuongXa!$A:$A,0)-1,0,10000,1), 0))</f>
        <v>13750</v>
      </c>
      <c r="U43" s="18" t="str">
        <f>DanhsachNguoiluutru!Q45</f>
        <v>Tân Khánh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>Tân Khánh, Xã Tân Khánh, Huyện Vụ Bản, Tỉnh Nam Định</v>
      </c>
      <c r="W43" s="18">
        <f>VLOOKUP(DanhsachNguoiluutru!$R45,DanhMuc!$A$2:$B$4,2,FALSE)</f>
        <v>1</v>
      </c>
      <c r="X43" s="18" t="str">
        <f>DanhsachNguoiluutru!R45</f>
        <v>Tạm trú</v>
      </c>
      <c r="Y43" s="18" t="str">
        <f>DanhsachNguoiluutru!S45</f>
        <v>07/07/2023</v>
      </c>
      <c r="Z43" s="18" t="str">
        <f>DanhsachNguoiluutru!T45</f>
        <v>09/07/2023</v>
      </c>
      <c r="AA43" s="18" t="str">
        <f>DanhsachNguoiluutru!U45</f>
        <v>Du Lịch</v>
      </c>
      <c r="AB43" s="18">
        <f>DanhsachNguoiluutru!V45</f>
        <v>304</v>
      </c>
    </row>
    <row r="44" spans="1:28" x14ac:dyDescent="0.3">
      <c r="A44" s="18" t="str">
        <f>DanhsachNguoiluutru!B46</f>
        <v>Bùi Hữu Bình</v>
      </c>
      <c r="B44" s="18" t="str">
        <f>DanhsachNguoiluutru!C46</f>
        <v>21/04/1993</v>
      </c>
      <c r="C44" s="18" t="str">
        <f>INDEX(GioiTinh!$A:$A,MATCH(DanhsachNguoiluutru!D46,GioiTinh!$B:$B,0))</f>
        <v>2</v>
      </c>
      <c r="D44" s="18" t="str">
        <f>DanhsachNguoiluutru!D46</f>
        <v>Giới tính Nam</v>
      </c>
      <c r="E44" s="18" t="str">
        <f>DanhsachNguoiluutru!E46</f>
        <v>019093858848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str">
        <f>INDEX(NgheNghiep!$A:$A,MATCH(DanhsachNguoiluutru!I46,NgheNghiep!$B:$B,0))</f>
        <v>TUDO</v>
      </c>
      <c r="J44" s="18" t="str">
        <f>DanhsachNguoiluutru!I46</f>
        <v>Tự do</v>
      </c>
      <c r="K44" s="18" t="str">
        <f>DanhsachNguoiluutru!J46</f>
        <v>Tân Khánh</v>
      </c>
      <c r="L44" s="18" t="str">
        <f>INDEX(DanToc!$A:$A,MATCH(DanhsachNguoiluutru!K46,DanToc!$B:$B,0))</f>
        <v>01</v>
      </c>
      <c r="M44" s="18" t="str">
        <f>DanhsachNguoiluutru!K46</f>
        <v>Kinh</v>
      </c>
      <c r="N44" s="18" t="str">
        <f>INDEX(QuocTich!$A:$A,MATCH(DanhsachNguoiluutru!L46,QuocTich!$B:$B,0))</f>
        <v>VN</v>
      </c>
      <c r="O44" s="18" t="str">
        <f>DanhsachNguoiluutru!L46</f>
        <v>Việt Nam</v>
      </c>
      <c r="P44" s="18" t="str">
        <f>INDEX(QuocGia!$A:$A,MATCH(DanhsachNguoiluutru!M46,QuocGia!$B:$B,0))</f>
        <v>VN</v>
      </c>
      <c r="Q44" s="18" t="str">
        <f>DanhsachNguoiluutru!M46</f>
        <v>Cộng hòa xã hội chủ nghĩa Việt Nam</v>
      </c>
      <c r="R44" s="18" t="str">
        <f>INDEX(TinhThanh!$C:$C,MATCH(DanhsachNguoiluutru!N46,TinhThanh!$B:$B,0))</f>
        <v>36</v>
      </c>
      <c r="S44" s="18" t="str">
        <f ca="1">INDEX(OFFSET(QuanHuyen!$C$1,MATCH(extracted!$R44,QuanHuyen!$A:$A,0)-1,0,10000,1),MATCH(DanhsachNguoiluutru!$O46,OFFSET(QuanHuyen!$B$1,MATCH(extracted!$R44,QuanHuyen!$A:$A,0)-1,0,10000,1), 0))</f>
        <v>359</v>
      </c>
      <c r="T44" s="18" t="str">
        <f ca="1">INDEX(OFFSET(PhuongXa!$C$1,MATCH(extracted!$S44,PhuongXa!$A:$A,0)-1,0,10000,1),MATCH(DanhsachNguoiluutru!$P46,OFFSET(PhuongXa!$B$1,MATCH(extracted!$S44,PhuongXa!$A:$A,0)-1,0,10000,1), 0))</f>
        <v>13750</v>
      </c>
      <c r="U44" s="18" t="str">
        <f>DanhsachNguoiluutru!Q46</f>
        <v>Tân Khánh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>Tân Khánh, Xã Tân Khánh, Huyện Vụ Bản, Tỉnh Nam Định</v>
      </c>
      <c r="W44" s="18">
        <f>VLOOKUP(DanhsachNguoiluutru!$R46,DanhMuc!$A$2:$B$4,2,FALSE)</f>
        <v>1</v>
      </c>
      <c r="X44" s="18" t="str">
        <f>DanhsachNguoiluutru!R46</f>
        <v>Tạm trú</v>
      </c>
      <c r="Y44" s="18" t="str">
        <f>DanhsachNguoiluutru!S46</f>
        <v>07/07/2023</v>
      </c>
      <c r="Z44" s="18" t="str">
        <f>DanhsachNguoiluutru!T46</f>
        <v>09/07/2023</v>
      </c>
      <c r="AA44" s="18" t="str">
        <f>DanhsachNguoiluutru!U46</f>
        <v>Du Lịch</v>
      </c>
      <c r="AB44" s="18">
        <f>DanhsachNguoiluutru!V46</f>
        <v>304</v>
      </c>
    </row>
    <row r="45" spans="1:28" x14ac:dyDescent="0.3">
      <c r="A45" s="18" t="str">
        <f>DanhsachNguoiluutru!B47</f>
        <v>Hà Hạnh Xuân</v>
      </c>
      <c r="B45" s="18" t="str">
        <f>DanhsachNguoiluutru!C47</f>
        <v>13/06/1986</v>
      </c>
      <c r="C45" s="18" t="str">
        <f>INDEX(GioiTinh!$A:$A,MATCH(DanhsachNguoiluutru!D47,GioiTinh!$B:$B,0))</f>
        <v>3</v>
      </c>
      <c r="D45" s="18" t="str">
        <f>DanhsachNguoiluutru!D47</f>
        <v>Giới tính Nữ</v>
      </c>
      <c r="E45" s="18" t="str">
        <f>DanhsachNguoiluutru!E47</f>
        <v>019186002770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str">
        <f>INDEX(NgheNghiep!$A:$A,MATCH(DanhsachNguoiluutru!I47,NgheNghiep!$B:$B,0))</f>
        <v>TUDO</v>
      </c>
      <c r="J45" s="18" t="str">
        <f>DanhsachNguoiluutru!I47</f>
        <v>Tự do</v>
      </c>
      <c r="K45" s="18" t="str">
        <f>DanhsachNguoiluutru!J47</f>
        <v>Tân Khánh</v>
      </c>
      <c r="L45" s="18" t="str">
        <f>INDEX(DanToc!$A:$A,MATCH(DanhsachNguoiluutru!K47,DanToc!$B:$B,0))</f>
        <v>01</v>
      </c>
      <c r="M45" s="18" t="str">
        <f>DanhsachNguoiluutru!K47</f>
        <v>Kinh</v>
      </c>
      <c r="N45" s="18" t="str">
        <f>INDEX(QuocTich!$A:$A,MATCH(DanhsachNguoiluutru!L47,QuocTich!$B:$B,0))</f>
        <v>VN</v>
      </c>
      <c r="O45" s="18" t="str">
        <f>DanhsachNguoiluutru!L47</f>
        <v>Việt Nam</v>
      </c>
      <c r="P45" s="18" t="str">
        <f>INDEX(QuocGia!$A:$A,MATCH(DanhsachNguoiluutru!M47,QuocGia!$B:$B,0))</f>
        <v>VN</v>
      </c>
      <c r="Q45" s="18" t="str">
        <f>DanhsachNguoiluutru!M47</f>
        <v>Cộng hòa xã hội chủ nghĩa Việt Nam</v>
      </c>
      <c r="R45" s="18" t="str">
        <f>INDEX(TinhThanh!$C:$C,MATCH(DanhsachNguoiluutru!N47,TinhThanh!$B:$B,0))</f>
        <v>36</v>
      </c>
      <c r="S45" s="18" t="str">
        <f ca="1">INDEX(OFFSET(QuanHuyen!$C$1,MATCH(extracted!$R45,QuanHuyen!$A:$A,0)-1,0,10000,1),MATCH(DanhsachNguoiluutru!$O47,OFFSET(QuanHuyen!$B$1,MATCH(extracted!$R45,QuanHuyen!$A:$A,0)-1,0,10000,1), 0))</f>
        <v>359</v>
      </c>
      <c r="T45" s="18" t="str">
        <f ca="1">INDEX(OFFSET(PhuongXa!$C$1,MATCH(extracted!$S45,PhuongXa!$A:$A,0)-1,0,10000,1),MATCH(DanhsachNguoiluutru!$P47,OFFSET(PhuongXa!$B$1,MATCH(extracted!$S45,PhuongXa!$A:$A,0)-1,0,10000,1), 0))</f>
        <v>13750</v>
      </c>
      <c r="U45" s="18" t="str">
        <f>DanhsachNguoiluutru!Q47</f>
        <v>Tân Khánh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>Tân Khánh, Xã Tân Khánh, Huyện Vụ Bản, Tỉnh Nam Định</v>
      </c>
      <c r="W45" s="18">
        <f>VLOOKUP(DanhsachNguoiluutru!$R47,DanhMuc!$A$2:$B$4,2,FALSE)</f>
        <v>1</v>
      </c>
      <c r="X45" s="18" t="str">
        <f>DanhsachNguoiluutru!R47</f>
        <v>Tạm trú</v>
      </c>
      <c r="Y45" s="18" t="str">
        <f>DanhsachNguoiluutru!S47</f>
        <v>07/07/2023</v>
      </c>
      <c r="Z45" s="18" t="str">
        <f>DanhsachNguoiluutru!T47</f>
        <v>09/07/2023</v>
      </c>
      <c r="AA45" s="18" t="str">
        <f>DanhsachNguoiluutru!U47</f>
        <v>Du Lịch</v>
      </c>
      <c r="AB45" s="18">
        <f>DanhsachNguoiluutru!V47</f>
        <v>305</v>
      </c>
    </row>
    <row r="46" spans="1:28" x14ac:dyDescent="0.3">
      <c r="A46" s="18" t="str">
        <f>DanhsachNguoiluutru!B48</f>
        <v>Vương Đình Tuấn</v>
      </c>
      <c r="B46" s="18" t="str">
        <f>DanhsachNguoiluutru!C48</f>
        <v>17/12/1995</v>
      </c>
      <c r="C46" s="18" t="str">
        <f>INDEX(GioiTinh!$A:$A,MATCH(DanhsachNguoiluutru!D48,GioiTinh!$B:$B,0))</f>
        <v>2</v>
      </c>
      <c r="D46" s="18" t="str">
        <f>DanhsachNguoiluutru!D48</f>
        <v>Giới tính Nam</v>
      </c>
      <c r="E46" s="18" t="str">
        <f>DanhsachNguoiluutru!E48</f>
        <v>019095311664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str">
        <f>INDEX(NgheNghiep!$A:$A,MATCH(DanhsachNguoiluutru!I48,NgheNghiep!$B:$B,0))</f>
        <v>TUDO</v>
      </c>
      <c r="J46" s="18" t="str">
        <f>DanhsachNguoiluutru!I48</f>
        <v>Tự do</v>
      </c>
      <c r="K46" s="18" t="str">
        <f>DanhsachNguoiluutru!J48</f>
        <v>Tân Khánh</v>
      </c>
      <c r="L46" s="18" t="str">
        <f>INDEX(DanToc!$A:$A,MATCH(DanhsachNguoiluutru!K48,DanToc!$B:$B,0))</f>
        <v>01</v>
      </c>
      <c r="M46" s="18" t="str">
        <f>DanhsachNguoiluutru!K48</f>
        <v>Kinh</v>
      </c>
      <c r="N46" s="18" t="str">
        <f>INDEX(QuocTich!$A:$A,MATCH(DanhsachNguoiluutru!L48,QuocTich!$B:$B,0))</f>
        <v>VN</v>
      </c>
      <c r="O46" s="18" t="str">
        <f>DanhsachNguoiluutru!L48</f>
        <v>Việt Nam</v>
      </c>
      <c r="P46" s="18" t="str">
        <f>INDEX(QuocGia!$A:$A,MATCH(DanhsachNguoiluutru!M48,QuocGia!$B:$B,0))</f>
        <v>VN</v>
      </c>
      <c r="Q46" s="18" t="str">
        <f>DanhsachNguoiluutru!M48</f>
        <v>Cộng hòa xã hội chủ nghĩa Việt Nam</v>
      </c>
      <c r="R46" s="18" t="str">
        <f>INDEX(TinhThanh!$C:$C,MATCH(DanhsachNguoiluutru!N48,TinhThanh!$B:$B,0))</f>
        <v>36</v>
      </c>
      <c r="S46" s="18" t="str">
        <f ca="1">INDEX(OFFSET(QuanHuyen!$C$1,MATCH(extracted!$R46,QuanHuyen!$A:$A,0)-1,0,10000,1),MATCH(DanhsachNguoiluutru!$O48,OFFSET(QuanHuyen!$B$1,MATCH(extracted!$R46,QuanHuyen!$A:$A,0)-1,0,10000,1), 0))</f>
        <v>359</v>
      </c>
      <c r="T46" s="18" t="str">
        <f ca="1">INDEX(OFFSET(PhuongXa!$C$1,MATCH(extracted!$S46,PhuongXa!$A:$A,0)-1,0,10000,1),MATCH(DanhsachNguoiluutru!$P48,OFFSET(PhuongXa!$B$1,MATCH(extracted!$S46,PhuongXa!$A:$A,0)-1,0,10000,1), 0))</f>
        <v>13750</v>
      </c>
      <c r="U46" s="18" t="str">
        <f>DanhsachNguoiluutru!Q48</f>
        <v>Tân Khánh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>Tân Khánh, Xã Tân Khánh, Huyện Vụ Bản, Tỉnh Nam Định</v>
      </c>
      <c r="W46" s="18">
        <f>VLOOKUP(DanhsachNguoiluutru!$R48,DanhMuc!$A$2:$B$4,2,FALSE)</f>
        <v>1</v>
      </c>
      <c r="X46" s="18" t="str">
        <f>DanhsachNguoiluutru!R48</f>
        <v>Tạm trú</v>
      </c>
      <c r="Y46" s="18" t="str">
        <f>DanhsachNguoiluutru!S48</f>
        <v>07/07/2023</v>
      </c>
      <c r="Z46" s="18" t="str">
        <f>DanhsachNguoiluutru!T48</f>
        <v>09/07/2023</v>
      </c>
      <c r="AA46" s="18" t="str">
        <f>DanhsachNguoiluutru!U48</f>
        <v>Du Lịch</v>
      </c>
      <c r="AB46" s="18">
        <f>DanhsachNguoiluutru!V48</f>
        <v>305</v>
      </c>
    </row>
    <row r="47" spans="1:28" x14ac:dyDescent="0.3">
      <c r="A47" s="18" t="str">
        <f>DanhsachNguoiluutru!B49</f>
        <v>Trịnh Thị Mai</v>
      </c>
      <c r="B47" s="18" t="str">
        <f>DanhsachNguoiluutru!C49</f>
        <v>18/04/1985</v>
      </c>
      <c r="C47" s="18" t="str">
        <f>INDEX(GioiTinh!$A:$A,MATCH(DanhsachNguoiluutru!D49,GioiTinh!$B:$B,0))</f>
        <v>3</v>
      </c>
      <c r="D47" s="18" t="str">
        <f>DanhsachNguoiluutru!D49</f>
        <v>Giới tính Nữ</v>
      </c>
      <c r="E47" s="18" t="str">
        <f>DanhsachNguoiluutru!E49</f>
        <v>019185733984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str">
        <f>INDEX(NgheNghiep!$A:$A,MATCH(DanhsachNguoiluutru!I49,NgheNghiep!$B:$B,0))</f>
        <v>TUDO</v>
      </c>
      <c r="J47" s="18" t="str">
        <f>DanhsachNguoiluutru!I49</f>
        <v>Tự do</v>
      </c>
      <c r="K47" s="18" t="str">
        <f>DanhsachNguoiluutru!J49</f>
        <v>Tân Khánh</v>
      </c>
      <c r="L47" s="18" t="str">
        <f>INDEX(DanToc!$A:$A,MATCH(DanhsachNguoiluutru!K49,DanToc!$B:$B,0))</f>
        <v>01</v>
      </c>
      <c r="M47" s="18" t="str">
        <f>DanhsachNguoiluutru!K49</f>
        <v>Kinh</v>
      </c>
      <c r="N47" s="18" t="str">
        <f>INDEX(QuocTich!$A:$A,MATCH(DanhsachNguoiluutru!L49,QuocTich!$B:$B,0))</f>
        <v>VN</v>
      </c>
      <c r="O47" s="18" t="str">
        <f>DanhsachNguoiluutru!L49</f>
        <v>Việt Nam</v>
      </c>
      <c r="P47" s="18" t="str">
        <f>INDEX(QuocGia!$A:$A,MATCH(DanhsachNguoiluutru!M49,QuocGia!$B:$B,0))</f>
        <v>VN</v>
      </c>
      <c r="Q47" s="18" t="str">
        <f>DanhsachNguoiluutru!M49</f>
        <v>Cộng hòa xã hội chủ nghĩa Việt Nam</v>
      </c>
      <c r="R47" s="18" t="str">
        <f>INDEX(TinhThanh!$C:$C,MATCH(DanhsachNguoiluutru!N49,TinhThanh!$B:$B,0))</f>
        <v>36</v>
      </c>
      <c r="S47" s="18" t="str">
        <f ca="1">INDEX(OFFSET(QuanHuyen!$C$1,MATCH(extracted!$R47,QuanHuyen!$A:$A,0)-1,0,10000,1),MATCH(DanhsachNguoiluutru!$O49,OFFSET(QuanHuyen!$B$1,MATCH(extracted!$R47,QuanHuyen!$A:$A,0)-1,0,10000,1), 0))</f>
        <v>359</v>
      </c>
      <c r="T47" s="18" t="str">
        <f ca="1">INDEX(OFFSET(PhuongXa!$C$1,MATCH(extracted!$S47,PhuongXa!$A:$A,0)-1,0,10000,1),MATCH(DanhsachNguoiluutru!$P49,OFFSET(PhuongXa!$B$1,MATCH(extracted!$S47,PhuongXa!$A:$A,0)-1,0,10000,1), 0))</f>
        <v>13750</v>
      </c>
      <c r="U47" s="18" t="str">
        <f>DanhsachNguoiluutru!Q49</f>
        <v>Tân Khánh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>Tân Khánh, Xã Tân Khánh, Huyện Vụ Bản, Tỉnh Nam Định</v>
      </c>
      <c r="W47" s="18">
        <f>VLOOKUP(DanhsachNguoiluutru!$R49,DanhMuc!$A$2:$B$4,2,FALSE)</f>
        <v>1</v>
      </c>
      <c r="X47" s="18" t="str">
        <f>DanhsachNguoiluutru!R49</f>
        <v>Tạm trú</v>
      </c>
      <c r="Y47" s="18" t="str">
        <f>DanhsachNguoiluutru!S49</f>
        <v>07/07/2023</v>
      </c>
      <c r="Z47" s="18" t="str">
        <f>DanhsachNguoiluutru!T49</f>
        <v>09/07/2023</v>
      </c>
      <c r="AA47" s="18" t="str">
        <f>DanhsachNguoiluutru!U49</f>
        <v>Du Lịch</v>
      </c>
      <c r="AB47" s="18">
        <f>DanhsachNguoiluutru!V49</f>
        <v>305</v>
      </c>
    </row>
    <row r="48" spans="1:28" x14ac:dyDescent="0.3">
      <c r="A48" s="18" t="str">
        <f>DanhsachNguoiluutru!B50</f>
        <v>Hồ Thảo Ngọc</v>
      </c>
      <c r="B48" s="18" t="str">
        <f>DanhsachNguoiluutru!C50</f>
        <v>09/10/1995</v>
      </c>
      <c r="C48" s="18" t="str">
        <f>INDEX(GioiTinh!$A:$A,MATCH(DanhsachNguoiluutru!D50,GioiTinh!$B:$B,0))</f>
        <v>3</v>
      </c>
      <c r="D48" s="18" t="str">
        <f>DanhsachNguoiluutru!D50</f>
        <v>Giới tính Nữ</v>
      </c>
      <c r="E48" s="18" t="str">
        <f>DanhsachNguoiluutru!E50</f>
        <v>019195173009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str">
        <f>INDEX(NgheNghiep!$A:$A,MATCH(DanhsachNguoiluutru!I50,NgheNghiep!$B:$B,0))</f>
        <v>TUDO</v>
      </c>
      <c r="J48" s="18" t="str">
        <f>DanhsachNguoiluutru!I50</f>
        <v>Tự do</v>
      </c>
      <c r="K48" s="18" t="str">
        <f>DanhsachNguoiluutru!J50</f>
        <v>Tân Khánh</v>
      </c>
      <c r="L48" s="18" t="str">
        <f>INDEX(DanToc!$A:$A,MATCH(DanhsachNguoiluutru!K50,DanToc!$B:$B,0))</f>
        <v>01</v>
      </c>
      <c r="M48" s="18" t="str">
        <f>DanhsachNguoiluutru!K50</f>
        <v>Kinh</v>
      </c>
      <c r="N48" s="18" t="str">
        <f>INDEX(QuocTich!$A:$A,MATCH(DanhsachNguoiluutru!L50,QuocTich!$B:$B,0))</f>
        <v>VN</v>
      </c>
      <c r="O48" s="18" t="str">
        <f>DanhsachNguoiluutru!L50</f>
        <v>Việt Nam</v>
      </c>
      <c r="P48" s="18" t="str">
        <f>INDEX(QuocGia!$A:$A,MATCH(DanhsachNguoiluutru!M50,QuocGia!$B:$B,0))</f>
        <v>VN</v>
      </c>
      <c r="Q48" s="18" t="str">
        <f>DanhsachNguoiluutru!M50</f>
        <v>Cộng hòa xã hội chủ nghĩa Việt Nam</v>
      </c>
      <c r="R48" s="18" t="str">
        <f>INDEX(TinhThanh!$C:$C,MATCH(DanhsachNguoiluutru!N50,TinhThanh!$B:$B,0))</f>
        <v>36</v>
      </c>
      <c r="S48" s="18" t="str">
        <f ca="1">INDEX(OFFSET(QuanHuyen!$C$1,MATCH(extracted!$R48,QuanHuyen!$A:$A,0)-1,0,10000,1),MATCH(DanhsachNguoiluutru!$O50,OFFSET(QuanHuyen!$B$1,MATCH(extracted!$R48,QuanHuyen!$A:$A,0)-1,0,10000,1), 0))</f>
        <v>359</v>
      </c>
      <c r="T48" s="18" t="str">
        <f ca="1">INDEX(OFFSET(PhuongXa!$C$1,MATCH(extracted!$S48,PhuongXa!$A:$A,0)-1,0,10000,1),MATCH(DanhsachNguoiluutru!$P50,OFFSET(PhuongXa!$B$1,MATCH(extracted!$S48,PhuongXa!$A:$A,0)-1,0,10000,1), 0))</f>
        <v>13750</v>
      </c>
      <c r="U48" s="18" t="str">
        <f>DanhsachNguoiluutru!Q50</f>
        <v>Tân Khánh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>Tân Khánh, Xã Tân Khánh, Huyện Vụ Bản, Tỉnh Nam Định</v>
      </c>
      <c r="W48" s="18">
        <f>VLOOKUP(DanhsachNguoiluutru!$R50,DanhMuc!$A$2:$B$4,2,FALSE)</f>
        <v>1</v>
      </c>
      <c r="X48" s="18" t="str">
        <f>DanhsachNguoiluutru!R50</f>
        <v>Tạm trú</v>
      </c>
      <c r="Y48" s="18" t="str">
        <f>DanhsachNguoiluutru!S50</f>
        <v>07/07/2023</v>
      </c>
      <c r="Z48" s="18" t="str">
        <f>DanhsachNguoiluutru!T50</f>
        <v>09/07/2023</v>
      </c>
      <c r="AA48" s="18" t="str">
        <f>DanhsachNguoiluutru!U50</f>
        <v>Du Lịch</v>
      </c>
      <c r="AB48" s="18">
        <f>DanhsachNguoiluutru!V50</f>
        <v>305</v>
      </c>
    </row>
    <row r="49" spans="1:28" x14ac:dyDescent="0.3">
      <c r="A49" s="18" t="str">
        <f>DanhsachNguoiluutru!B51</f>
        <v>Đào Phúc Sơn</v>
      </c>
      <c r="B49" s="18" t="str">
        <f>DanhsachNguoiluutru!C51</f>
        <v>21/12/1990</v>
      </c>
      <c r="C49" s="18" t="str">
        <f>INDEX(GioiTinh!$A:$A,MATCH(DanhsachNguoiluutru!D51,GioiTinh!$B:$B,0))</f>
        <v>2</v>
      </c>
      <c r="D49" s="18" t="str">
        <f>DanhsachNguoiluutru!D51</f>
        <v>Giới tính Nam</v>
      </c>
      <c r="E49" s="18" t="str">
        <f>DanhsachNguoiluutru!E51</f>
        <v>019090234248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str">
        <f>INDEX(NgheNghiep!$A:$A,MATCH(DanhsachNguoiluutru!I51,NgheNghiep!$B:$B,0))</f>
        <v>TUDO</v>
      </c>
      <c r="J49" s="18" t="str">
        <f>DanhsachNguoiluutru!I51</f>
        <v>Tự do</v>
      </c>
      <c r="K49" s="18" t="str">
        <f>DanhsachNguoiluutru!J51</f>
        <v>Tân Khánh</v>
      </c>
      <c r="L49" s="18" t="str">
        <f>INDEX(DanToc!$A:$A,MATCH(DanhsachNguoiluutru!K51,DanToc!$B:$B,0))</f>
        <v>01</v>
      </c>
      <c r="M49" s="18" t="str">
        <f>DanhsachNguoiluutru!K51</f>
        <v>Kinh</v>
      </c>
      <c r="N49" s="18" t="str">
        <f>INDEX(QuocTich!$A:$A,MATCH(DanhsachNguoiluutru!L51,QuocTich!$B:$B,0))</f>
        <v>VN</v>
      </c>
      <c r="O49" s="18" t="str">
        <f>DanhsachNguoiluutru!L51</f>
        <v>Việt Nam</v>
      </c>
      <c r="P49" s="18" t="str">
        <f>INDEX(QuocGia!$A:$A,MATCH(DanhsachNguoiluutru!M51,QuocGia!$B:$B,0))</f>
        <v>VN</v>
      </c>
      <c r="Q49" s="18" t="str">
        <f>DanhsachNguoiluutru!M51</f>
        <v>Cộng hòa xã hội chủ nghĩa Việt Nam</v>
      </c>
      <c r="R49" s="18" t="str">
        <f>INDEX(TinhThanh!$C:$C,MATCH(DanhsachNguoiluutru!N51,TinhThanh!$B:$B,0))</f>
        <v>36</v>
      </c>
      <c r="S49" s="18" t="str">
        <f ca="1">INDEX(OFFSET(QuanHuyen!$C$1,MATCH(extracted!$R49,QuanHuyen!$A:$A,0)-1,0,10000,1),MATCH(DanhsachNguoiluutru!$O51,OFFSET(QuanHuyen!$B$1,MATCH(extracted!$R49,QuanHuyen!$A:$A,0)-1,0,10000,1), 0))</f>
        <v>359</v>
      </c>
      <c r="T49" s="18" t="str">
        <f ca="1">INDEX(OFFSET(PhuongXa!$C$1,MATCH(extracted!$S49,PhuongXa!$A:$A,0)-1,0,10000,1),MATCH(DanhsachNguoiluutru!$P51,OFFSET(PhuongXa!$B$1,MATCH(extracted!$S49,PhuongXa!$A:$A,0)-1,0,10000,1), 0))</f>
        <v>13750</v>
      </c>
      <c r="U49" s="18" t="str">
        <f>DanhsachNguoiluutru!Q51</f>
        <v>Tân Khánh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>Tân Khánh, Xã Tân Khánh, Huyện Vụ Bản, Tỉnh Nam Định</v>
      </c>
      <c r="W49" s="18">
        <f>VLOOKUP(DanhsachNguoiluutru!$R51,DanhMuc!$A$2:$B$4,2,FALSE)</f>
        <v>1</v>
      </c>
      <c r="X49" s="18" t="str">
        <f>DanhsachNguoiluutru!R51</f>
        <v>Tạm trú</v>
      </c>
      <c r="Y49" s="18" t="str">
        <f>DanhsachNguoiluutru!S51</f>
        <v>07/07/2023</v>
      </c>
      <c r="Z49" s="18" t="str">
        <f>DanhsachNguoiluutru!T51</f>
        <v>09/07/2023</v>
      </c>
      <c r="AA49" s="18" t="str">
        <f>DanhsachNguoiluutru!U51</f>
        <v>Du Lịch</v>
      </c>
      <c r="AB49" s="18">
        <f>DanhsachNguoiluutru!V51</f>
        <v>306</v>
      </c>
    </row>
    <row r="50" spans="1:28" x14ac:dyDescent="0.3">
      <c r="A50" s="18" t="str">
        <f>DanhsachNguoiluutru!B52</f>
        <v>Phạm Nhật An</v>
      </c>
      <c r="B50" s="18" t="str">
        <f>DanhsachNguoiluutru!C52</f>
        <v>06/04/1993</v>
      </c>
      <c r="C50" s="18" t="str">
        <f>INDEX(GioiTinh!$A:$A,MATCH(DanhsachNguoiluutru!D52,GioiTinh!$B:$B,0))</f>
        <v>2</v>
      </c>
      <c r="D50" s="18" t="str">
        <f>DanhsachNguoiluutru!D52</f>
        <v>Giới tính Nam</v>
      </c>
      <c r="E50" s="18" t="str">
        <f>DanhsachNguoiluutru!E52</f>
        <v>019093491052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str">
        <f>INDEX(NgheNghiep!$A:$A,MATCH(DanhsachNguoiluutru!I52,NgheNghiep!$B:$B,0))</f>
        <v>TUDO</v>
      </c>
      <c r="J50" s="18" t="str">
        <f>DanhsachNguoiluutru!I52</f>
        <v>Tự do</v>
      </c>
      <c r="K50" s="18" t="str">
        <f>DanhsachNguoiluutru!J52</f>
        <v>Tân Khánh</v>
      </c>
      <c r="L50" s="18" t="str">
        <f>INDEX(DanToc!$A:$A,MATCH(DanhsachNguoiluutru!K52,DanToc!$B:$B,0))</f>
        <v>01</v>
      </c>
      <c r="M50" s="18" t="str">
        <f>DanhsachNguoiluutru!K52</f>
        <v>Kinh</v>
      </c>
      <c r="N50" s="18" t="str">
        <f>INDEX(QuocTich!$A:$A,MATCH(DanhsachNguoiluutru!L52,QuocTich!$B:$B,0))</f>
        <v>VN</v>
      </c>
      <c r="O50" s="18" t="str">
        <f>DanhsachNguoiluutru!L52</f>
        <v>Việt Nam</v>
      </c>
      <c r="P50" s="18" t="str">
        <f>INDEX(QuocGia!$A:$A,MATCH(DanhsachNguoiluutru!M52,QuocGia!$B:$B,0))</f>
        <v>VN</v>
      </c>
      <c r="Q50" s="18" t="str">
        <f>DanhsachNguoiluutru!M52</f>
        <v>Cộng hòa xã hội chủ nghĩa Việt Nam</v>
      </c>
      <c r="R50" s="18" t="str">
        <f>INDEX(TinhThanh!$C:$C,MATCH(DanhsachNguoiluutru!N52,TinhThanh!$B:$B,0))</f>
        <v>36</v>
      </c>
      <c r="S50" s="18" t="str">
        <f ca="1">INDEX(OFFSET(QuanHuyen!$C$1,MATCH(extracted!$R50,QuanHuyen!$A:$A,0)-1,0,10000,1),MATCH(DanhsachNguoiluutru!$O52,OFFSET(QuanHuyen!$B$1,MATCH(extracted!$R50,QuanHuyen!$A:$A,0)-1,0,10000,1), 0))</f>
        <v>359</v>
      </c>
      <c r="T50" s="18" t="str">
        <f ca="1">INDEX(OFFSET(PhuongXa!$C$1,MATCH(extracted!$S50,PhuongXa!$A:$A,0)-1,0,10000,1),MATCH(DanhsachNguoiluutru!$P52,OFFSET(PhuongXa!$B$1,MATCH(extracted!$S50,PhuongXa!$A:$A,0)-1,0,10000,1), 0))</f>
        <v>13750</v>
      </c>
      <c r="U50" s="18" t="str">
        <f>DanhsachNguoiluutru!Q52</f>
        <v>Tân Khánh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>Tân Khánh, Xã Tân Khánh, Huyện Vụ Bản, Tỉnh Nam Định</v>
      </c>
      <c r="W50" s="18">
        <f>VLOOKUP(DanhsachNguoiluutru!$R52,DanhMuc!$A$2:$B$4,2,FALSE)</f>
        <v>1</v>
      </c>
      <c r="X50" s="18" t="str">
        <f>DanhsachNguoiluutru!R52</f>
        <v>Tạm trú</v>
      </c>
      <c r="Y50" s="18" t="str">
        <f>DanhsachNguoiluutru!S52</f>
        <v>07/07/2023</v>
      </c>
      <c r="Z50" s="18" t="str">
        <f>DanhsachNguoiluutru!T52</f>
        <v>09/07/2023</v>
      </c>
      <c r="AA50" s="18" t="str">
        <f>DanhsachNguoiluutru!U52</f>
        <v>Du Lịch</v>
      </c>
      <c r="AB50" s="18">
        <f>DanhsachNguoiluutru!V52</f>
        <v>306</v>
      </c>
    </row>
    <row r="51" spans="1:28" x14ac:dyDescent="0.3">
      <c r="A51" s="18" t="str">
        <f>DanhsachNguoiluutru!B53</f>
        <v>Trịnh Thu Quỳnh</v>
      </c>
      <c r="B51" s="18" t="str">
        <f>DanhsachNguoiluutru!C53</f>
        <v>28/08/1992</v>
      </c>
      <c r="C51" s="18" t="str">
        <f>INDEX(GioiTinh!$A:$A,MATCH(DanhsachNguoiluutru!D53,GioiTinh!$B:$B,0))</f>
        <v>3</v>
      </c>
      <c r="D51" s="18" t="str">
        <f>DanhsachNguoiluutru!D53</f>
        <v>Giới tính Nữ</v>
      </c>
      <c r="E51" s="18" t="str">
        <f>DanhsachNguoiluutru!E53</f>
        <v>019192109643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str">
        <f>INDEX(NgheNghiep!$A:$A,MATCH(DanhsachNguoiluutru!I53,NgheNghiep!$B:$B,0))</f>
        <v>TUDO</v>
      </c>
      <c r="J51" s="18" t="str">
        <f>DanhsachNguoiluutru!I53</f>
        <v>Tự do</v>
      </c>
      <c r="K51" s="18" t="str">
        <f>DanhsachNguoiluutru!J53</f>
        <v>Tân Khánh</v>
      </c>
      <c r="L51" s="18" t="str">
        <f>INDEX(DanToc!$A:$A,MATCH(DanhsachNguoiluutru!K53,DanToc!$B:$B,0))</f>
        <v>01</v>
      </c>
      <c r="M51" s="18" t="str">
        <f>DanhsachNguoiluutru!K53</f>
        <v>Kinh</v>
      </c>
      <c r="N51" s="18" t="str">
        <f>INDEX(QuocTich!$A:$A,MATCH(DanhsachNguoiluutru!L53,QuocTich!$B:$B,0))</f>
        <v>VN</v>
      </c>
      <c r="O51" s="18" t="str">
        <f>DanhsachNguoiluutru!L53</f>
        <v>Việt Nam</v>
      </c>
      <c r="P51" s="18" t="str">
        <f>INDEX(QuocGia!$A:$A,MATCH(DanhsachNguoiluutru!M53,QuocGia!$B:$B,0))</f>
        <v>VN</v>
      </c>
      <c r="Q51" s="18" t="str">
        <f>DanhsachNguoiluutru!M53</f>
        <v>Cộng hòa xã hội chủ nghĩa Việt Nam</v>
      </c>
      <c r="R51" s="18" t="str">
        <f>INDEX(TinhThanh!$C:$C,MATCH(DanhsachNguoiluutru!N53,TinhThanh!$B:$B,0))</f>
        <v>36</v>
      </c>
      <c r="S51" s="18" t="str">
        <f ca="1">INDEX(OFFSET(QuanHuyen!$C$1,MATCH(extracted!$R51,QuanHuyen!$A:$A,0)-1,0,10000,1),MATCH(DanhsachNguoiluutru!$O53,OFFSET(QuanHuyen!$B$1,MATCH(extracted!$R51,QuanHuyen!$A:$A,0)-1,0,10000,1), 0))</f>
        <v>359</v>
      </c>
      <c r="T51" s="18" t="str">
        <f ca="1">INDEX(OFFSET(PhuongXa!$C$1,MATCH(extracted!$S51,PhuongXa!$A:$A,0)-1,0,10000,1),MATCH(DanhsachNguoiluutru!$P53,OFFSET(PhuongXa!$B$1,MATCH(extracted!$S51,PhuongXa!$A:$A,0)-1,0,10000,1), 0))</f>
        <v>13750</v>
      </c>
      <c r="U51" s="18" t="str">
        <f>DanhsachNguoiluutru!Q53</f>
        <v>Tân Khánh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>Tân Khánh, Xã Tân Khánh, Huyện Vụ Bản, Tỉnh Nam Định</v>
      </c>
      <c r="W51" s="18">
        <f>VLOOKUP(DanhsachNguoiluutru!$R53,DanhMuc!$A$2:$B$4,2,FALSE)</f>
        <v>1</v>
      </c>
      <c r="X51" s="18" t="str">
        <f>DanhsachNguoiluutru!R53</f>
        <v>Tạm trú</v>
      </c>
      <c r="Y51" s="18" t="str">
        <f>DanhsachNguoiluutru!S53</f>
        <v>07/07/2023</v>
      </c>
      <c r="Z51" s="18" t="str">
        <f>DanhsachNguoiluutru!T53</f>
        <v>09/07/2023</v>
      </c>
      <c r="AA51" s="18" t="str">
        <f>DanhsachNguoiluutru!U53</f>
        <v>Du Lịch</v>
      </c>
      <c r="AB51" s="18">
        <f>DanhsachNguoiluutru!V53</f>
        <v>306</v>
      </c>
    </row>
    <row r="52" spans="1:28" x14ac:dyDescent="0.3">
      <c r="A52" s="18" t="str">
        <f>DanhsachNguoiluutru!B54</f>
        <v>Trịnh Phước Quân</v>
      </c>
      <c r="B52" s="18" t="str">
        <f>DanhsachNguoiluutru!C54</f>
        <v>28/08/1995</v>
      </c>
      <c r="C52" s="18" t="str">
        <f>INDEX(GioiTinh!$A:$A,MATCH(DanhsachNguoiluutru!D54,GioiTinh!$B:$B,0))</f>
        <v>2</v>
      </c>
      <c r="D52" s="18" t="str">
        <f>DanhsachNguoiluutru!D54</f>
        <v>Giới tính Nam</v>
      </c>
      <c r="E52" s="18" t="str">
        <f>DanhsachNguoiluutru!E54</f>
        <v>019095801044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str">
        <f>INDEX(NgheNghiep!$A:$A,MATCH(DanhsachNguoiluutru!I54,NgheNghiep!$B:$B,0))</f>
        <v>TUDO</v>
      </c>
      <c r="J52" s="18" t="str">
        <f>DanhsachNguoiluutru!I54</f>
        <v>Tự do</v>
      </c>
      <c r="K52" s="18" t="str">
        <f>DanhsachNguoiluutru!J54</f>
        <v>Tân Khánh</v>
      </c>
      <c r="L52" s="18" t="str">
        <f>INDEX(DanToc!$A:$A,MATCH(DanhsachNguoiluutru!K54,DanToc!$B:$B,0))</f>
        <v>01</v>
      </c>
      <c r="M52" s="18" t="str">
        <f>DanhsachNguoiluutru!K54</f>
        <v>Kinh</v>
      </c>
      <c r="N52" s="18" t="str">
        <f>INDEX(QuocTich!$A:$A,MATCH(DanhsachNguoiluutru!L54,QuocTich!$B:$B,0))</f>
        <v>VN</v>
      </c>
      <c r="O52" s="18" t="str">
        <f>DanhsachNguoiluutru!L54</f>
        <v>Việt Nam</v>
      </c>
      <c r="P52" s="18" t="str">
        <f>INDEX(QuocGia!$A:$A,MATCH(DanhsachNguoiluutru!M54,QuocGia!$B:$B,0))</f>
        <v>VN</v>
      </c>
      <c r="Q52" s="18" t="str">
        <f>DanhsachNguoiluutru!M54</f>
        <v>Cộng hòa xã hội chủ nghĩa Việt Nam</v>
      </c>
      <c r="R52" s="18" t="str">
        <f>INDEX(TinhThanh!$C:$C,MATCH(DanhsachNguoiluutru!N54,TinhThanh!$B:$B,0))</f>
        <v>36</v>
      </c>
      <c r="S52" s="18" t="str">
        <f ca="1">INDEX(OFFSET(QuanHuyen!$C$1,MATCH(extracted!$R52,QuanHuyen!$A:$A,0)-1,0,10000,1),MATCH(DanhsachNguoiluutru!$O54,OFFSET(QuanHuyen!$B$1,MATCH(extracted!$R52,QuanHuyen!$A:$A,0)-1,0,10000,1), 0))</f>
        <v>359</v>
      </c>
      <c r="T52" s="18" t="str">
        <f ca="1">INDEX(OFFSET(PhuongXa!$C$1,MATCH(extracted!$S52,PhuongXa!$A:$A,0)-1,0,10000,1),MATCH(DanhsachNguoiluutru!$P54,OFFSET(PhuongXa!$B$1,MATCH(extracted!$S52,PhuongXa!$A:$A,0)-1,0,10000,1), 0))</f>
        <v>13750</v>
      </c>
      <c r="U52" s="18" t="str">
        <f>DanhsachNguoiluutru!Q54</f>
        <v>Tân Khánh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>Tân Khánh, Xã Tân Khánh, Huyện Vụ Bản, Tỉnh Nam Định</v>
      </c>
      <c r="W52" s="18">
        <f>VLOOKUP(DanhsachNguoiluutru!$R54,DanhMuc!$A$2:$B$4,2,FALSE)</f>
        <v>1</v>
      </c>
      <c r="X52" s="18" t="str">
        <f>DanhsachNguoiluutru!R54</f>
        <v>Tạm trú</v>
      </c>
      <c r="Y52" s="18" t="str">
        <f>DanhsachNguoiluutru!S54</f>
        <v>07/07/2023</v>
      </c>
      <c r="Z52" s="18" t="str">
        <f>DanhsachNguoiluutru!T54</f>
        <v>09/07/2023</v>
      </c>
      <c r="AA52" s="18" t="str">
        <f>DanhsachNguoiluutru!U54</f>
        <v>Du Lịch</v>
      </c>
      <c r="AB52" s="18">
        <f>DanhsachNguoiluutru!V54</f>
        <v>306</v>
      </c>
    </row>
    <row r="53" spans="1:28" x14ac:dyDescent="0.3">
      <c r="A53" s="18" t="str">
        <f>DanhsachNguoiluutru!B55</f>
        <v>Đoàn Phước Long</v>
      </c>
      <c r="B53" s="18" t="str">
        <f>DanhsachNguoiluutru!C55</f>
        <v>23/03/1992</v>
      </c>
      <c r="C53" s="18" t="str">
        <f>INDEX(GioiTinh!$A:$A,MATCH(DanhsachNguoiluutru!D55,GioiTinh!$B:$B,0))</f>
        <v>2</v>
      </c>
      <c r="D53" s="18" t="str">
        <f>DanhsachNguoiluutru!D55</f>
        <v>Giới tính Nam</v>
      </c>
      <c r="E53" s="18" t="str">
        <f>DanhsachNguoiluutru!E55</f>
        <v>019092101196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str">
        <f>INDEX(NgheNghiep!$A:$A,MATCH(DanhsachNguoiluutru!I55,NgheNghiep!$B:$B,0))</f>
        <v>TUDO</v>
      </c>
      <c r="J53" s="18" t="str">
        <f>DanhsachNguoiluutru!I55</f>
        <v>Tự do</v>
      </c>
      <c r="K53" s="18" t="str">
        <f>DanhsachNguoiluutru!J55</f>
        <v>Tân Khánh</v>
      </c>
      <c r="L53" s="18" t="str">
        <f>INDEX(DanToc!$A:$A,MATCH(DanhsachNguoiluutru!K55,DanToc!$B:$B,0))</f>
        <v>01</v>
      </c>
      <c r="M53" s="18" t="str">
        <f>DanhsachNguoiluutru!K55</f>
        <v>Kinh</v>
      </c>
      <c r="N53" s="18" t="str">
        <f>INDEX(QuocTich!$A:$A,MATCH(DanhsachNguoiluutru!L55,QuocTich!$B:$B,0))</f>
        <v>VN</v>
      </c>
      <c r="O53" s="18" t="str">
        <f>DanhsachNguoiluutru!L55</f>
        <v>Việt Nam</v>
      </c>
      <c r="P53" s="18" t="str">
        <f>INDEX(QuocGia!$A:$A,MATCH(DanhsachNguoiluutru!M55,QuocGia!$B:$B,0))</f>
        <v>VN</v>
      </c>
      <c r="Q53" s="18" t="str">
        <f>DanhsachNguoiluutru!M55</f>
        <v>Cộng hòa xã hội chủ nghĩa Việt Nam</v>
      </c>
      <c r="R53" s="18" t="str">
        <f>INDEX(TinhThanh!$C:$C,MATCH(DanhsachNguoiluutru!N55,TinhThanh!$B:$B,0))</f>
        <v>36</v>
      </c>
      <c r="S53" s="18" t="str">
        <f ca="1">INDEX(OFFSET(QuanHuyen!$C$1,MATCH(extracted!$R53,QuanHuyen!$A:$A,0)-1,0,10000,1),MATCH(DanhsachNguoiluutru!$O55,OFFSET(QuanHuyen!$B$1,MATCH(extracted!$R53,QuanHuyen!$A:$A,0)-1,0,10000,1), 0))</f>
        <v>359</v>
      </c>
      <c r="T53" s="18" t="str">
        <f ca="1">INDEX(OFFSET(PhuongXa!$C$1,MATCH(extracted!$S53,PhuongXa!$A:$A,0)-1,0,10000,1),MATCH(DanhsachNguoiluutru!$P55,OFFSET(PhuongXa!$B$1,MATCH(extracted!$S53,PhuongXa!$A:$A,0)-1,0,10000,1), 0))</f>
        <v>13750</v>
      </c>
      <c r="U53" s="18" t="str">
        <f>DanhsachNguoiluutru!Q55</f>
        <v>Tân Khánh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>Tân Khánh, Xã Tân Khánh, Huyện Vụ Bản, Tỉnh Nam Định</v>
      </c>
      <c r="W53" s="18">
        <f>VLOOKUP(DanhsachNguoiluutru!$R55,DanhMuc!$A$2:$B$4,2,FALSE)</f>
        <v>1</v>
      </c>
      <c r="X53" s="18" t="str">
        <f>DanhsachNguoiluutru!R55</f>
        <v>Tạm trú</v>
      </c>
      <c r="Y53" s="18" t="str">
        <f>DanhsachNguoiluutru!S55</f>
        <v>07/07/2023</v>
      </c>
      <c r="Z53" s="18" t="str">
        <f>DanhsachNguoiluutru!T55</f>
        <v>09/07/2023</v>
      </c>
      <c r="AA53" s="18" t="str">
        <f>DanhsachNguoiluutru!U55</f>
        <v>Du Lịch</v>
      </c>
      <c r="AB53" s="18">
        <f>DanhsachNguoiluutru!V55</f>
        <v>307</v>
      </c>
    </row>
    <row r="54" spans="1:28" x14ac:dyDescent="0.3">
      <c r="A54" s="18" t="str">
        <f>DanhsachNguoiluutru!B56</f>
        <v>Trương Ngọc Trâm</v>
      </c>
      <c r="B54" s="18" t="str">
        <f>DanhsachNguoiluutru!C56</f>
        <v>09/03/1986</v>
      </c>
      <c r="C54" s="18" t="str">
        <f>INDEX(GioiTinh!$A:$A,MATCH(DanhsachNguoiluutru!D56,GioiTinh!$B:$B,0))</f>
        <v>3</v>
      </c>
      <c r="D54" s="18" t="str">
        <f>DanhsachNguoiluutru!D56</f>
        <v>Giới tính Nữ</v>
      </c>
      <c r="E54" s="18" t="str">
        <f>DanhsachNguoiluutru!E56</f>
        <v>019186288519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str">
        <f>INDEX(NgheNghiep!$A:$A,MATCH(DanhsachNguoiluutru!I56,NgheNghiep!$B:$B,0))</f>
        <v>TUDO</v>
      </c>
      <c r="J54" s="18" t="str">
        <f>DanhsachNguoiluutru!I56</f>
        <v>Tự do</v>
      </c>
      <c r="K54" s="18" t="str">
        <f>DanhsachNguoiluutru!J56</f>
        <v>Tân Khánh</v>
      </c>
      <c r="L54" s="18" t="str">
        <f>INDEX(DanToc!$A:$A,MATCH(DanhsachNguoiluutru!K56,DanToc!$B:$B,0))</f>
        <v>01</v>
      </c>
      <c r="M54" s="18" t="str">
        <f>DanhsachNguoiluutru!K56</f>
        <v>Kinh</v>
      </c>
      <c r="N54" s="18" t="str">
        <f>INDEX(QuocTich!$A:$A,MATCH(DanhsachNguoiluutru!L56,QuocTich!$B:$B,0))</f>
        <v>VN</v>
      </c>
      <c r="O54" s="18" t="str">
        <f>DanhsachNguoiluutru!L56</f>
        <v>Việt Nam</v>
      </c>
      <c r="P54" s="18" t="str">
        <f>INDEX(QuocGia!$A:$A,MATCH(DanhsachNguoiluutru!M56,QuocGia!$B:$B,0))</f>
        <v>VN</v>
      </c>
      <c r="Q54" s="18" t="str">
        <f>DanhsachNguoiluutru!M56</f>
        <v>Cộng hòa xã hội chủ nghĩa Việt Nam</v>
      </c>
      <c r="R54" s="18" t="str">
        <f>INDEX(TinhThanh!$C:$C,MATCH(DanhsachNguoiluutru!N56,TinhThanh!$B:$B,0))</f>
        <v>36</v>
      </c>
      <c r="S54" s="18" t="str">
        <f ca="1">INDEX(OFFSET(QuanHuyen!$C$1,MATCH(extracted!$R54,QuanHuyen!$A:$A,0)-1,0,10000,1),MATCH(DanhsachNguoiluutru!$O56,OFFSET(QuanHuyen!$B$1,MATCH(extracted!$R54,QuanHuyen!$A:$A,0)-1,0,10000,1), 0))</f>
        <v>359</v>
      </c>
      <c r="T54" s="18" t="str">
        <f ca="1">INDEX(OFFSET(PhuongXa!$C$1,MATCH(extracted!$S54,PhuongXa!$A:$A,0)-1,0,10000,1),MATCH(DanhsachNguoiluutru!$P56,OFFSET(PhuongXa!$B$1,MATCH(extracted!$S54,PhuongXa!$A:$A,0)-1,0,10000,1), 0))</f>
        <v>13750</v>
      </c>
      <c r="U54" s="18" t="str">
        <f>DanhsachNguoiluutru!Q56</f>
        <v>Tân Khánh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>Tân Khánh, Xã Tân Khánh, Huyện Vụ Bản, Tỉnh Nam Định</v>
      </c>
      <c r="W54" s="18">
        <f>VLOOKUP(DanhsachNguoiluutru!$R56,DanhMuc!$A$2:$B$4,2,FALSE)</f>
        <v>1</v>
      </c>
      <c r="X54" s="18" t="str">
        <f>DanhsachNguoiluutru!R56</f>
        <v>Tạm trú</v>
      </c>
      <c r="Y54" s="18" t="str">
        <f>DanhsachNguoiluutru!S56</f>
        <v>07/07/2023</v>
      </c>
      <c r="Z54" s="18" t="str">
        <f>DanhsachNguoiluutru!T56</f>
        <v>09/07/2023</v>
      </c>
      <c r="AA54" s="18" t="str">
        <f>DanhsachNguoiluutru!U56</f>
        <v>Du Lịch</v>
      </c>
      <c r="AB54" s="18">
        <f>DanhsachNguoiluutru!V56</f>
        <v>307</v>
      </c>
    </row>
    <row r="55" spans="1:28" x14ac:dyDescent="0.3">
      <c r="A55" s="18" t="str">
        <f>DanhsachNguoiluutru!B57</f>
        <v>Mai Thị Yến</v>
      </c>
      <c r="B55" s="18" t="str">
        <f>DanhsachNguoiluutru!C57</f>
        <v>25/01/1990</v>
      </c>
      <c r="C55" s="18" t="str">
        <f>INDEX(GioiTinh!$A:$A,MATCH(DanhsachNguoiluutru!D57,GioiTinh!$B:$B,0))</f>
        <v>3</v>
      </c>
      <c r="D55" s="18" t="str">
        <f>DanhsachNguoiluutru!D57</f>
        <v>Giới tính Nữ</v>
      </c>
      <c r="E55" s="18" t="str">
        <f>DanhsachNguoiluutru!E57</f>
        <v>019190787692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str">
        <f>INDEX(NgheNghiep!$A:$A,MATCH(DanhsachNguoiluutru!I57,NgheNghiep!$B:$B,0))</f>
        <v>TUDO</v>
      </c>
      <c r="J55" s="18" t="str">
        <f>DanhsachNguoiluutru!I57</f>
        <v>Tự do</v>
      </c>
      <c r="K55" s="18" t="str">
        <f>DanhsachNguoiluutru!J57</f>
        <v>Tân Khánh</v>
      </c>
      <c r="L55" s="18" t="str">
        <f>INDEX(DanToc!$A:$A,MATCH(DanhsachNguoiluutru!K57,DanToc!$B:$B,0))</f>
        <v>01</v>
      </c>
      <c r="M55" s="18" t="str">
        <f>DanhsachNguoiluutru!K57</f>
        <v>Kinh</v>
      </c>
      <c r="N55" s="18" t="str">
        <f>INDEX(QuocTich!$A:$A,MATCH(DanhsachNguoiluutru!L57,QuocTich!$B:$B,0))</f>
        <v>VN</v>
      </c>
      <c r="O55" s="18" t="str">
        <f>DanhsachNguoiluutru!L57</f>
        <v>Việt Nam</v>
      </c>
      <c r="P55" s="18" t="str">
        <f>INDEX(QuocGia!$A:$A,MATCH(DanhsachNguoiluutru!M57,QuocGia!$B:$B,0))</f>
        <v>VN</v>
      </c>
      <c r="Q55" s="18" t="str">
        <f>DanhsachNguoiluutru!M57</f>
        <v>Cộng hòa xã hội chủ nghĩa Việt Nam</v>
      </c>
      <c r="R55" s="18" t="str">
        <f>INDEX(TinhThanh!$C:$C,MATCH(DanhsachNguoiluutru!N57,TinhThanh!$B:$B,0))</f>
        <v>36</v>
      </c>
      <c r="S55" s="18" t="str">
        <f ca="1">INDEX(OFFSET(QuanHuyen!$C$1,MATCH(extracted!$R55,QuanHuyen!$A:$A,0)-1,0,10000,1),MATCH(DanhsachNguoiluutru!$O57,OFFSET(QuanHuyen!$B$1,MATCH(extracted!$R55,QuanHuyen!$A:$A,0)-1,0,10000,1), 0))</f>
        <v>359</v>
      </c>
      <c r="T55" s="18" t="str">
        <f ca="1">INDEX(OFFSET(PhuongXa!$C$1,MATCH(extracted!$S55,PhuongXa!$A:$A,0)-1,0,10000,1),MATCH(DanhsachNguoiluutru!$P57,OFFSET(PhuongXa!$B$1,MATCH(extracted!$S55,PhuongXa!$A:$A,0)-1,0,10000,1), 0))</f>
        <v>13750</v>
      </c>
      <c r="U55" s="18" t="str">
        <f>DanhsachNguoiluutru!Q57</f>
        <v>Tân Khánh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>Tân Khánh, Xã Tân Khánh, Huyện Vụ Bản, Tỉnh Nam Định</v>
      </c>
      <c r="W55" s="18">
        <f>VLOOKUP(DanhsachNguoiluutru!$R57,DanhMuc!$A$2:$B$4,2,FALSE)</f>
        <v>1</v>
      </c>
      <c r="X55" s="18" t="str">
        <f>DanhsachNguoiluutru!R57</f>
        <v>Tạm trú</v>
      </c>
      <c r="Y55" s="18" t="str">
        <f>DanhsachNguoiluutru!S57</f>
        <v>07/07/2023</v>
      </c>
      <c r="Z55" s="18" t="str">
        <f>DanhsachNguoiluutru!T57</f>
        <v>09/07/2023</v>
      </c>
      <c r="AA55" s="18" t="str">
        <f>DanhsachNguoiluutru!U57</f>
        <v>Du Lịch</v>
      </c>
      <c r="AB55" s="18">
        <f>DanhsachNguoiluutru!V57</f>
        <v>307</v>
      </c>
    </row>
    <row r="56" spans="1:28" x14ac:dyDescent="0.3">
      <c r="A56" s="18" t="str">
        <f>DanhsachNguoiluutru!B58</f>
        <v>Nguyễn Văn Sơn</v>
      </c>
      <c r="B56" s="18" t="str">
        <f>DanhsachNguoiluutru!C58</f>
        <v>14/02/1995</v>
      </c>
      <c r="C56" s="18" t="str">
        <f>INDEX(GioiTinh!$A:$A,MATCH(DanhsachNguoiluutru!D58,GioiTinh!$B:$B,0))</f>
        <v>2</v>
      </c>
      <c r="D56" s="18" t="str">
        <f>DanhsachNguoiluutru!D58</f>
        <v>Giới tính Nam</v>
      </c>
      <c r="E56" s="18" t="str">
        <f>DanhsachNguoiluutru!E58</f>
        <v>019095731814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str">
        <f>INDEX(NgheNghiep!$A:$A,MATCH(DanhsachNguoiluutru!I58,NgheNghiep!$B:$B,0))</f>
        <v>TUDO</v>
      </c>
      <c r="J56" s="18" t="str">
        <f>DanhsachNguoiluutru!I58</f>
        <v>Tự do</v>
      </c>
      <c r="K56" s="18" t="str">
        <f>DanhsachNguoiluutru!J58</f>
        <v>Tân Khánh</v>
      </c>
      <c r="L56" s="18" t="str">
        <f>INDEX(DanToc!$A:$A,MATCH(DanhsachNguoiluutru!K58,DanToc!$B:$B,0))</f>
        <v>01</v>
      </c>
      <c r="M56" s="18" t="str">
        <f>DanhsachNguoiluutru!K58</f>
        <v>Kinh</v>
      </c>
      <c r="N56" s="18" t="str">
        <f>INDEX(QuocTich!$A:$A,MATCH(DanhsachNguoiluutru!L58,QuocTich!$B:$B,0))</f>
        <v>VN</v>
      </c>
      <c r="O56" s="18" t="str">
        <f>DanhsachNguoiluutru!L58</f>
        <v>Việt Nam</v>
      </c>
      <c r="P56" s="18" t="str">
        <f>INDEX(QuocGia!$A:$A,MATCH(DanhsachNguoiluutru!M58,QuocGia!$B:$B,0))</f>
        <v>VN</v>
      </c>
      <c r="Q56" s="18" t="str">
        <f>DanhsachNguoiluutru!M58</f>
        <v>Cộng hòa xã hội chủ nghĩa Việt Nam</v>
      </c>
      <c r="R56" s="18" t="str">
        <f>INDEX(TinhThanh!$C:$C,MATCH(DanhsachNguoiluutru!N58,TinhThanh!$B:$B,0))</f>
        <v>36</v>
      </c>
      <c r="S56" s="18" t="str">
        <f ca="1">INDEX(OFFSET(QuanHuyen!$C$1,MATCH(extracted!$R56,QuanHuyen!$A:$A,0)-1,0,10000,1),MATCH(DanhsachNguoiluutru!$O58,OFFSET(QuanHuyen!$B$1,MATCH(extracted!$R56,QuanHuyen!$A:$A,0)-1,0,10000,1), 0))</f>
        <v>359</v>
      </c>
      <c r="T56" s="18" t="str">
        <f ca="1">INDEX(OFFSET(PhuongXa!$C$1,MATCH(extracted!$S56,PhuongXa!$A:$A,0)-1,0,10000,1),MATCH(DanhsachNguoiluutru!$P58,OFFSET(PhuongXa!$B$1,MATCH(extracted!$S56,PhuongXa!$A:$A,0)-1,0,10000,1), 0))</f>
        <v>13750</v>
      </c>
      <c r="U56" s="18" t="str">
        <f>DanhsachNguoiluutru!Q58</f>
        <v>Tân Khánh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>Tân Khánh, Xã Tân Khánh, Huyện Vụ Bản, Tỉnh Nam Định</v>
      </c>
      <c r="W56" s="18">
        <f>VLOOKUP(DanhsachNguoiluutru!$R58,DanhMuc!$A$2:$B$4,2,FALSE)</f>
        <v>1</v>
      </c>
      <c r="X56" s="18" t="str">
        <f>DanhsachNguoiluutru!R58</f>
        <v>Tạm trú</v>
      </c>
      <c r="Y56" s="18" t="str">
        <f>DanhsachNguoiluutru!S58</f>
        <v>07/07/2023</v>
      </c>
      <c r="Z56" s="18" t="str">
        <f>DanhsachNguoiluutru!T58</f>
        <v>09/07/2023</v>
      </c>
      <c r="AA56" s="18" t="str">
        <f>DanhsachNguoiluutru!U58</f>
        <v>Du Lịch</v>
      </c>
      <c r="AB56" s="18">
        <f>DanhsachNguoiluutru!V58</f>
        <v>307</v>
      </c>
    </row>
    <row r="57" spans="1:28" x14ac:dyDescent="0.3">
      <c r="A57" s="18" t="str">
        <f>DanhsachNguoiluutru!B59</f>
        <v>Đoàn Linh Anh</v>
      </c>
      <c r="B57" s="18" t="str">
        <f>DanhsachNguoiluutru!C59</f>
        <v>06/12/1982</v>
      </c>
      <c r="C57" s="18" t="str">
        <f>INDEX(GioiTinh!$A:$A,MATCH(DanhsachNguoiluutru!D59,GioiTinh!$B:$B,0))</f>
        <v>3</v>
      </c>
      <c r="D57" s="18" t="str">
        <f>DanhsachNguoiluutru!D59</f>
        <v>Giới tính Nữ</v>
      </c>
      <c r="E57" s="18" t="str">
        <f>DanhsachNguoiluutru!E59</f>
        <v>019182430213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str">
        <f>INDEX(NgheNghiep!$A:$A,MATCH(DanhsachNguoiluutru!I59,NgheNghiep!$B:$B,0))</f>
        <v>TUDO</v>
      </c>
      <c r="J57" s="18" t="str">
        <f>DanhsachNguoiluutru!I59</f>
        <v>Tự do</v>
      </c>
      <c r="K57" s="18" t="str">
        <f>DanhsachNguoiluutru!J59</f>
        <v>Tân Khánh</v>
      </c>
      <c r="L57" s="18" t="str">
        <f>INDEX(DanToc!$A:$A,MATCH(DanhsachNguoiluutru!K59,DanToc!$B:$B,0))</f>
        <v>01</v>
      </c>
      <c r="M57" s="18" t="str">
        <f>DanhsachNguoiluutru!K59</f>
        <v>Kinh</v>
      </c>
      <c r="N57" s="18" t="str">
        <f>INDEX(QuocTich!$A:$A,MATCH(DanhsachNguoiluutru!L59,QuocTich!$B:$B,0))</f>
        <v>VN</v>
      </c>
      <c r="O57" s="18" t="str">
        <f>DanhsachNguoiluutru!L59</f>
        <v>Việt Nam</v>
      </c>
      <c r="P57" s="18" t="str">
        <f>INDEX(QuocGia!$A:$A,MATCH(DanhsachNguoiluutru!M59,QuocGia!$B:$B,0))</f>
        <v>VN</v>
      </c>
      <c r="Q57" s="18" t="str">
        <f>DanhsachNguoiluutru!M59</f>
        <v>Cộng hòa xã hội chủ nghĩa Việt Nam</v>
      </c>
      <c r="R57" s="18" t="str">
        <f>INDEX(TinhThanh!$C:$C,MATCH(DanhsachNguoiluutru!N59,TinhThanh!$B:$B,0))</f>
        <v>36</v>
      </c>
      <c r="S57" s="18" t="str">
        <f ca="1">INDEX(OFFSET(QuanHuyen!$C$1,MATCH(extracted!$R57,QuanHuyen!$A:$A,0)-1,0,10000,1),MATCH(DanhsachNguoiluutru!$O59,OFFSET(QuanHuyen!$B$1,MATCH(extracted!$R57,QuanHuyen!$A:$A,0)-1,0,10000,1), 0))</f>
        <v>359</v>
      </c>
      <c r="T57" s="18" t="str">
        <f ca="1">INDEX(OFFSET(PhuongXa!$C$1,MATCH(extracted!$S57,PhuongXa!$A:$A,0)-1,0,10000,1),MATCH(DanhsachNguoiluutru!$P59,OFFSET(PhuongXa!$B$1,MATCH(extracted!$S57,PhuongXa!$A:$A,0)-1,0,10000,1), 0))</f>
        <v>13750</v>
      </c>
      <c r="U57" s="18" t="str">
        <f>DanhsachNguoiluutru!Q59</f>
        <v>Tân Khánh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>Tân Khánh, Xã Tân Khánh, Huyện Vụ Bản, Tỉnh Nam Định</v>
      </c>
      <c r="W57" s="18">
        <f>VLOOKUP(DanhsachNguoiluutru!$R59,DanhMuc!$A$2:$B$4,2,FALSE)</f>
        <v>1</v>
      </c>
      <c r="X57" s="18" t="str">
        <f>DanhsachNguoiluutru!R59</f>
        <v>Tạm trú</v>
      </c>
      <c r="Y57" s="18" t="str">
        <f>DanhsachNguoiluutru!S59</f>
        <v>07/07/2023</v>
      </c>
      <c r="Z57" s="18" t="str">
        <f>DanhsachNguoiluutru!T59</f>
        <v>09/07/2023</v>
      </c>
      <c r="AA57" s="18" t="str">
        <f>DanhsachNguoiluutru!U59</f>
        <v>Du Lịch</v>
      </c>
      <c r="AB57" s="18">
        <f>DanhsachNguoiluutru!V59</f>
        <v>401</v>
      </c>
    </row>
    <row r="58" spans="1:28" x14ac:dyDescent="0.3">
      <c r="A58" s="18" t="str">
        <f>DanhsachNguoiluutru!B60</f>
        <v>Đặng Phương Mai</v>
      </c>
      <c r="B58" s="18" t="str">
        <f>DanhsachNguoiluutru!C60</f>
        <v>16/05/1988</v>
      </c>
      <c r="C58" s="18" t="str">
        <f>INDEX(GioiTinh!$A:$A,MATCH(DanhsachNguoiluutru!D60,GioiTinh!$B:$B,0))</f>
        <v>3</v>
      </c>
      <c r="D58" s="18" t="str">
        <f>DanhsachNguoiluutru!D60</f>
        <v>Giới tính Nữ</v>
      </c>
      <c r="E58" s="18" t="str">
        <f>DanhsachNguoiluutru!E60</f>
        <v>019188163978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str">
        <f>INDEX(NgheNghiep!$A:$A,MATCH(DanhsachNguoiluutru!I60,NgheNghiep!$B:$B,0))</f>
        <v>TUDO</v>
      </c>
      <c r="J58" s="18" t="str">
        <f>DanhsachNguoiluutru!I60</f>
        <v>Tự do</v>
      </c>
      <c r="K58" s="18" t="str">
        <f>DanhsachNguoiluutru!J60</f>
        <v>Tân Khánh</v>
      </c>
      <c r="L58" s="18" t="str">
        <f>INDEX(DanToc!$A:$A,MATCH(DanhsachNguoiluutru!K60,DanToc!$B:$B,0))</f>
        <v>01</v>
      </c>
      <c r="M58" s="18" t="str">
        <f>DanhsachNguoiluutru!K60</f>
        <v>Kinh</v>
      </c>
      <c r="N58" s="18" t="str">
        <f>INDEX(QuocTich!$A:$A,MATCH(DanhsachNguoiluutru!L60,QuocTich!$B:$B,0))</f>
        <v>VN</v>
      </c>
      <c r="O58" s="18" t="str">
        <f>DanhsachNguoiluutru!L60</f>
        <v>Việt Nam</v>
      </c>
      <c r="P58" s="18" t="str">
        <f>INDEX(QuocGia!$A:$A,MATCH(DanhsachNguoiluutru!M60,QuocGia!$B:$B,0))</f>
        <v>VN</v>
      </c>
      <c r="Q58" s="18" t="str">
        <f>DanhsachNguoiluutru!M60</f>
        <v>Cộng hòa xã hội chủ nghĩa Việt Nam</v>
      </c>
      <c r="R58" s="18" t="str">
        <f>INDEX(TinhThanh!$C:$C,MATCH(DanhsachNguoiluutru!N60,TinhThanh!$B:$B,0))</f>
        <v>36</v>
      </c>
      <c r="S58" s="18" t="str">
        <f ca="1">INDEX(OFFSET(QuanHuyen!$C$1,MATCH(extracted!$R58,QuanHuyen!$A:$A,0)-1,0,10000,1),MATCH(DanhsachNguoiluutru!$O60,OFFSET(QuanHuyen!$B$1,MATCH(extracted!$R58,QuanHuyen!$A:$A,0)-1,0,10000,1), 0))</f>
        <v>359</v>
      </c>
      <c r="T58" s="18" t="str">
        <f ca="1">INDEX(OFFSET(PhuongXa!$C$1,MATCH(extracted!$S58,PhuongXa!$A:$A,0)-1,0,10000,1),MATCH(DanhsachNguoiluutru!$P60,OFFSET(PhuongXa!$B$1,MATCH(extracted!$S58,PhuongXa!$A:$A,0)-1,0,10000,1), 0))</f>
        <v>13750</v>
      </c>
      <c r="U58" s="18" t="str">
        <f>DanhsachNguoiluutru!Q60</f>
        <v>Tân Khánh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>Tân Khánh, Xã Tân Khánh, Huyện Vụ Bản, Tỉnh Nam Định</v>
      </c>
      <c r="W58" s="18">
        <f>VLOOKUP(DanhsachNguoiluutru!$R60,DanhMuc!$A$2:$B$4,2,FALSE)</f>
        <v>1</v>
      </c>
      <c r="X58" s="18" t="str">
        <f>DanhsachNguoiluutru!R60</f>
        <v>Tạm trú</v>
      </c>
      <c r="Y58" s="18" t="str">
        <f>DanhsachNguoiluutru!S60</f>
        <v>07/07/2023</v>
      </c>
      <c r="Z58" s="18" t="str">
        <f>DanhsachNguoiluutru!T60</f>
        <v>09/07/2023</v>
      </c>
      <c r="AA58" s="18" t="str">
        <f>DanhsachNguoiluutru!U60</f>
        <v>Du Lịch</v>
      </c>
      <c r="AB58" s="18">
        <f>DanhsachNguoiluutru!V60</f>
        <v>401</v>
      </c>
    </row>
    <row r="59" spans="1:28" x14ac:dyDescent="0.3">
      <c r="A59" s="18" t="str">
        <f>DanhsachNguoiluutru!B61</f>
        <v>Ngô Hạnh Mai</v>
      </c>
      <c r="B59" s="18" t="str">
        <f>DanhsachNguoiluutru!C61</f>
        <v>03/12/1982</v>
      </c>
      <c r="C59" s="18" t="str">
        <f>INDEX(GioiTinh!$A:$A,MATCH(DanhsachNguoiluutru!D61,GioiTinh!$B:$B,0))</f>
        <v>3</v>
      </c>
      <c r="D59" s="18" t="str">
        <f>DanhsachNguoiluutru!D61</f>
        <v>Giới tính Nữ</v>
      </c>
      <c r="E59" s="18" t="str">
        <f>DanhsachNguoiluutru!E61</f>
        <v>019182365175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str">
        <f>INDEX(NgheNghiep!$A:$A,MATCH(DanhsachNguoiluutru!I61,NgheNghiep!$B:$B,0))</f>
        <v>TUDO</v>
      </c>
      <c r="J59" s="18" t="str">
        <f>DanhsachNguoiluutru!I61</f>
        <v>Tự do</v>
      </c>
      <c r="K59" s="18" t="str">
        <f>DanhsachNguoiluutru!J61</f>
        <v>Tân Khánh</v>
      </c>
      <c r="L59" s="18" t="str">
        <f>INDEX(DanToc!$A:$A,MATCH(DanhsachNguoiluutru!K61,DanToc!$B:$B,0))</f>
        <v>01</v>
      </c>
      <c r="M59" s="18" t="str">
        <f>DanhsachNguoiluutru!K61</f>
        <v>Kinh</v>
      </c>
      <c r="N59" s="18" t="str">
        <f>INDEX(QuocTich!$A:$A,MATCH(DanhsachNguoiluutru!L61,QuocTich!$B:$B,0))</f>
        <v>VN</v>
      </c>
      <c r="O59" s="18" t="str">
        <f>DanhsachNguoiluutru!L61</f>
        <v>Việt Nam</v>
      </c>
      <c r="P59" s="18" t="str">
        <f>INDEX(QuocGia!$A:$A,MATCH(DanhsachNguoiluutru!M61,QuocGia!$B:$B,0))</f>
        <v>VN</v>
      </c>
      <c r="Q59" s="18" t="str">
        <f>DanhsachNguoiluutru!M61</f>
        <v>Cộng hòa xã hội chủ nghĩa Việt Nam</v>
      </c>
      <c r="R59" s="18" t="str">
        <f>INDEX(TinhThanh!$C:$C,MATCH(DanhsachNguoiluutru!N61,TinhThanh!$B:$B,0))</f>
        <v>36</v>
      </c>
      <c r="S59" s="18" t="str">
        <f ca="1">INDEX(OFFSET(QuanHuyen!$C$1,MATCH(extracted!$R59,QuanHuyen!$A:$A,0)-1,0,10000,1),MATCH(DanhsachNguoiluutru!$O61,OFFSET(QuanHuyen!$B$1,MATCH(extracted!$R59,QuanHuyen!$A:$A,0)-1,0,10000,1), 0))</f>
        <v>359</v>
      </c>
      <c r="T59" s="18" t="str">
        <f ca="1">INDEX(OFFSET(PhuongXa!$C$1,MATCH(extracted!$S59,PhuongXa!$A:$A,0)-1,0,10000,1),MATCH(DanhsachNguoiluutru!$P61,OFFSET(PhuongXa!$B$1,MATCH(extracted!$S59,PhuongXa!$A:$A,0)-1,0,10000,1), 0))</f>
        <v>13750</v>
      </c>
      <c r="U59" s="18" t="str">
        <f>DanhsachNguoiluutru!Q61</f>
        <v>Tân Khánh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>Tân Khánh, Xã Tân Khánh, Huyện Vụ Bản, Tỉnh Nam Định</v>
      </c>
      <c r="W59" s="18">
        <f>VLOOKUP(DanhsachNguoiluutru!$R61,DanhMuc!$A$2:$B$4,2,FALSE)</f>
        <v>1</v>
      </c>
      <c r="X59" s="18" t="str">
        <f>DanhsachNguoiluutru!R61</f>
        <v>Tạm trú</v>
      </c>
      <c r="Y59" s="18" t="str">
        <f>DanhsachNguoiluutru!S61</f>
        <v>07/07/2023</v>
      </c>
      <c r="Z59" s="18" t="str">
        <f>DanhsachNguoiluutru!T61</f>
        <v>09/07/2023</v>
      </c>
      <c r="AA59" s="18" t="str">
        <f>DanhsachNguoiluutru!U61</f>
        <v>Du Lịch</v>
      </c>
      <c r="AB59" s="18">
        <f>DanhsachNguoiluutru!V61</f>
        <v>401</v>
      </c>
    </row>
    <row r="60" spans="1:28" x14ac:dyDescent="0.3">
      <c r="A60" s="18" t="str">
        <f>DanhsachNguoiluutru!B62</f>
        <v>Lương Công Khánh</v>
      </c>
      <c r="B60" s="18" t="str">
        <f>DanhsachNguoiluutru!C62</f>
        <v>06/11/1993</v>
      </c>
      <c r="C60" s="18" t="str">
        <f>INDEX(GioiTinh!$A:$A,MATCH(DanhsachNguoiluutru!D62,GioiTinh!$B:$B,0))</f>
        <v>2</v>
      </c>
      <c r="D60" s="18" t="str">
        <f>DanhsachNguoiluutru!D62</f>
        <v>Giới tính Nam</v>
      </c>
      <c r="E60" s="18" t="str">
        <f>DanhsachNguoiluutru!E62</f>
        <v>019093974419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str">
        <f>INDEX(NgheNghiep!$A:$A,MATCH(DanhsachNguoiluutru!I62,NgheNghiep!$B:$B,0))</f>
        <v>TUDO</v>
      </c>
      <c r="J60" s="18" t="str">
        <f>DanhsachNguoiluutru!I62</f>
        <v>Tự do</v>
      </c>
      <c r="K60" s="18" t="str">
        <f>DanhsachNguoiluutru!J62</f>
        <v>Tân Khánh</v>
      </c>
      <c r="L60" s="18" t="str">
        <f>INDEX(DanToc!$A:$A,MATCH(DanhsachNguoiluutru!K62,DanToc!$B:$B,0))</f>
        <v>01</v>
      </c>
      <c r="M60" s="18" t="str">
        <f>DanhsachNguoiluutru!K62</f>
        <v>Kinh</v>
      </c>
      <c r="N60" s="18" t="str">
        <f>INDEX(QuocTich!$A:$A,MATCH(DanhsachNguoiluutru!L62,QuocTich!$B:$B,0))</f>
        <v>VN</v>
      </c>
      <c r="O60" s="18" t="str">
        <f>DanhsachNguoiluutru!L62</f>
        <v>Việt Nam</v>
      </c>
      <c r="P60" s="18" t="str">
        <f>INDEX(QuocGia!$A:$A,MATCH(DanhsachNguoiluutru!M62,QuocGia!$B:$B,0))</f>
        <v>VN</v>
      </c>
      <c r="Q60" s="18" t="str">
        <f>DanhsachNguoiluutru!M62</f>
        <v>Cộng hòa xã hội chủ nghĩa Việt Nam</v>
      </c>
      <c r="R60" s="18" t="str">
        <f>INDEX(TinhThanh!$C:$C,MATCH(DanhsachNguoiluutru!N62,TinhThanh!$B:$B,0))</f>
        <v>36</v>
      </c>
      <c r="S60" s="18" t="str">
        <f ca="1">INDEX(OFFSET(QuanHuyen!$C$1,MATCH(extracted!$R60,QuanHuyen!$A:$A,0)-1,0,10000,1),MATCH(DanhsachNguoiluutru!$O62,OFFSET(QuanHuyen!$B$1,MATCH(extracted!$R60,QuanHuyen!$A:$A,0)-1,0,10000,1), 0))</f>
        <v>359</v>
      </c>
      <c r="T60" s="18" t="str">
        <f ca="1">INDEX(OFFSET(PhuongXa!$C$1,MATCH(extracted!$S60,PhuongXa!$A:$A,0)-1,0,10000,1),MATCH(DanhsachNguoiluutru!$P62,OFFSET(PhuongXa!$B$1,MATCH(extracted!$S60,PhuongXa!$A:$A,0)-1,0,10000,1), 0))</f>
        <v>13750</v>
      </c>
      <c r="U60" s="18" t="str">
        <f>DanhsachNguoiluutru!Q62</f>
        <v>Tân Khánh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>Tân Khánh, Xã Tân Khánh, Huyện Vụ Bản, Tỉnh Nam Định</v>
      </c>
      <c r="W60" s="18">
        <f>VLOOKUP(DanhsachNguoiluutru!$R62,DanhMuc!$A$2:$B$4,2,FALSE)</f>
        <v>1</v>
      </c>
      <c r="X60" s="18" t="str">
        <f>DanhsachNguoiluutru!R62</f>
        <v>Tạm trú</v>
      </c>
      <c r="Y60" s="18" t="str">
        <f>DanhsachNguoiluutru!S62</f>
        <v>07/07/2023</v>
      </c>
      <c r="Z60" s="18" t="str">
        <f>DanhsachNguoiluutru!T62</f>
        <v>09/07/2023</v>
      </c>
      <c r="AA60" s="18" t="str">
        <f>DanhsachNguoiluutru!U62</f>
        <v>Du Lịch</v>
      </c>
      <c r="AB60" s="18">
        <f>DanhsachNguoiluutru!V62</f>
        <v>401</v>
      </c>
    </row>
    <row r="61" spans="1:28" x14ac:dyDescent="0.3">
      <c r="A61" s="18" t="str">
        <f>DanhsachNguoiluutru!B63</f>
        <v>Nguyễn Linh Hạnh</v>
      </c>
      <c r="B61" s="18" t="str">
        <f>DanhsachNguoiluutru!C63</f>
        <v>02/09/1986</v>
      </c>
      <c r="C61" s="18" t="str">
        <f>INDEX(GioiTinh!$A:$A,MATCH(DanhsachNguoiluutru!D63,GioiTinh!$B:$B,0))</f>
        <v>3</v>
      </c>
      <c r="D61" s="18" t="str">
        <f>DanhsachNguoiluutru!D63</f>
        <v>Giới tính Nữ</v>
      </c>
      <c r="E61" s="18" t="str">
        <f>DanhsachNguoiluutru!E63</f>
        <v>019186655782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str">
        <f>INDEX(NgheNghiep!$A:$A,MATCH(DanhsachNguoiluutru!I63,NgheNghiep!$B:$B,0))</f>
        <v>TUDO</v>
      </c>
      <c r="J61" s="18" t="str">
        <f>DanhsachNguoiluutru!I63</f>
        <v>Tự do</v>
      </c>
      <c r="K61" s="18" t="str">
        <f>DanhsachNguoiluutru!J63</f>
        <v>Tân Khánh</v>
      </c>
      <c r="L61" s="18" t="str">
        <f>INDEX(DanToc!$A:$A,MATCH(DanhsachNguoiluutru!K63,DanToc!$B:$B,0))</f>
        <v>01</v>
      </c>
      <c r="M61" s="18" t="str">
        <f>DanhsachNguoiluutru!K63</f>
        <v>Kinh</v>
      </c>
      <c r="N61" s="18" t="str">
        <f>INDEX(QuocTich!$A:$A,MATCH(DanhsachNguoiluutru!L63,QuocTich!$B:$B,0))</f>
        <v>VN</v>
      </c>
      <c r="O61" s="18" t="str">
        <f>DanhsachNguoiluutru!L63</f>
        <v>Việt Nam</v>
      </c>
      <c r="P61" s="18" t="str">
        <f>INDEX(QuocGia!$A:$A,MATCH(DanhsachNguoiluutru!M63,QuocGia!$B:$B,0))</f>
        <v>VN</v>
      </c>
      <c r="Q61" s="18" t="str">
        <f>DanhsachNguoiluutru!M63</f>
        <v>Cộng hòa xã hội chủ nghĩa Việt Nam</v>
      </c>
      <c r="R61" s="18" t="str">
        <f>INDEX(TinhThanh!$C:$C,MATCH(DanhsachNguoiluutru!N63,TinhThanh!$B:$B,0))</f>
        <v>36</v>
      </c>
      <c r="S61" s="18" t="str">
        <f ca="1">INDEX(OFFSET(QuanHuyen!$C$1,MATCH(extracted!$R61,QuanHuyen!$A:$A,0)-1,0,10000,1),MATCH(DanhsachNguoiluutru!$O63,OFFSET(QuanHuyen!$B$1,MATCH(extracted!$R61,QuanHuyen!$A:$A,0)-1,0,10000,1), 0))</f>
        <v>359</v>
      </c>
      <c r="T61" s="18" t="str">
        <f ca="1">INDEX(OFFSET(PhuongXa!$C$1,MATCH(extracted!$S61,PhuongXa!$A:$A,0)-1,0,10000,1),MATCH(DanhsachNguoiluutru!$P63,OFFSET(PhuongXa!$B$1,MATCH(extracted!$S61,PhuongXa!$A:$A,0)-1,0,10000,1), 0))</f>
        <v>13750</v>
      </c>
      <c r="U61" s="18" t="str">
        <f>DanhsachNguoiluutru!Q63</f>
        <v>Tân Khánh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>Tân Khánh, Xã Tân Khánh, Huyện Vụ Bản, Tỉnh Nam Định</v>
      </c>
      <c r="W61" s="18">
        <f>VLOOKUP(DanhsachNguoiluutru!$R63,DanhMuc!$A$2:$B$4,2,FALSE)</f>
        <v>1</v>
      </c>
      <c r="X61" s="18" t="str">
        <f>DanhsachNguoiluutru!R63</f>
        <v>Tạm trú</v>
      </c>
      <c r="Y61" s="18" t="str">
        <f>DanhsachNguoiluutru!S63</f>
        <v>07/07/2023</v>
      </c>
      <c r="Z61" s="18" t="str">
        <f>DanhsachNguoiluutru!T63</f>
        <v>09/07/2023</v>
      </c>
      <c r="AA61" s="18" t="str">
        <f>DanhsachNguoiluutru!U63</f>
        <v>Du Lịch</v>
      </c>
      <c r="AB61" s="18">
        <f>DanhsachNguoiluutru!V63</f>
        <v>402</v>
      </c>
    </row>
    <row r="62" spans="1:28" x14ac:dyDescent="0.3">
      <c r="A62" s="18" t="str">
        <f>DanhsachNguoiluutru!B64</f>
        <v>Trần Hải Hải</v>
      </c>
      <c r="B62" s="18" t="str">
        <f>DanhsachNguoiluutru!C64</f>
        <v>18/10/1992</v>
      </c>
      <c r="C62" s="18" t="str">
        <f>INDEX(GioiTinh!$A:$A,MATCH(DanhsachNguoiluutru!D64,GioiTinh!$B:$B,0))</f>
        <v>2</v>
      </c>
      <c r="D62" s="18" t="str">
        <f>DanhsachNguoiluutru!D64</f>
        <v>Giới tính Nam</v>
      </c>
      <c r="E62" s="18" t="str">
        <f>DanhsachNguoiluutru!E64</f>
        <v>019092416260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str">
        <f>INDEX(NgheNghiep!$A:$A,MATCH(DanhsachNguoiluutru!I64,NgheNghiep!$B:$B,0))</f>
        <v>TUDO</v>
      </c>
      <c r="J62" s="18" t="str">
        <f>DanhsachNguoiluutru!I64</f>
        <v>Tự do</v>
      </c>
      <c r="K62" s="18" t="str">
        <f>DanhsachNguoiluutru!J64</f>
        <v>Tân Khánh</v>
      </c>
      <c r="L62" s="18" t="str">
        <f>INDEX(DanToc!$A:$A,MATCH(DanhsachNguoiluutru!K64,DanToc!$B:$B,0))</f>
        <v>01</v>
      </c>
      <c r="M62" s="18" t="str">
        <f>DanhsachNguoiluutru!K64</f>
        <v>Kinh</v>
      </c>
      <c r="N62" s="18" t="str">
        <f>INDEX(QuocTich!$A:$A,MATCH(DanhsachNguoiluutru!L64,QuocTich!$B:$B,0))</f>
        <v>VN</v>
      </c>
      <c r="O62" s="18" t="str">
        <f>DanhsachNguoiluutru!L64</f>
        <v>Việt Nam</v>
      </c>
      <c r="P62" s="18" t="str">
        <f>INDEX(QuocGia!$A:$A,MATCH(DanhsachNguoiluutru!M64,QuocGia!$B:$B,0))</f>
        <v>VN</v>
      </c>
      <c r="Q62" s="18" t="str">
        <f>DanhsachNguoiluutru!M64</f>
        <v>Cộng hòa xã hội chủ nghĩa Việt Nam</v>
      </c>
      <c r="R62" s="18" t="str">
        <f>INDEX(TinhThanh!$C:$C,MATCH(DanhsachNguoiluutru!N64,TinhThanh!$B:$B,0))</f>
        <v>36</v>
      </c>
      <c r="S62" s="18" t="str">
        <f ca="1">INDEX(OFFSET(QuanHuyen!$C$1,MATCH(extracted!$R62,QuanHuyen!$A:$A,0)-1,0,10000,1),MATCH(DanhsachNguoiluutru!$O64,OFFSET(QuanHuyen!$B$1,MATCH(extracted!$R62,QuanHuyen!$A:$A,0)-1,0,10000,1), 0))</f>
        <v>359</v>
      </c>
      <c r="T62" s="18" t="str">
        <f ca="1">INDEX(OFFSET(PhuongXa!$C$1,MATCH(extracted!$S62,PhuongXa!$A:$A,0)-1,0,10000,1),MATCH(DanhsachNguoiluutru!$P64,OFFSET(PhuongXa!$B$1,MATCH(extracted!$S62,PhuongXa!$A:$A,0)-1,0,10000,1), 0))</f>
        <v>13750</v>
      </c>
      <c r="U62" s="18" t="str">
        <f>DanhsachNguoiluutru!Q64</f>
        <v>Tân Khánh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>Tân Khánh, Xã Tân Khánh, Huyện Vụ Bản, Tỉnh Nam Định</v>
      </c>
      <c r="W62" s="18">
        <f>VLOOKUP(DanhsachNguoiluutru!$R64,DanhMuc!$A$2:$B$4,2,FALSE)</f>
        <v>1</v>
      </c>
      <c r="X62" s="18" t="str">
        <f>DanhsachNguoiluutru!R64</f>
        <v>Tạm trú</v>
      </c>
      <c r="Y62" s="18" t="str">
        <f>DanhsachNguoiluutru!S64</f>
        <v>07/07/2023</v>
      </c>
      <c r="Z62" s="18" t="str">
        <f>DanhsachNguoiluutru!T64</f>
        <v>09/07/2023</v>
      </c>
      <c r="AA62" s="18" t="str">
        <f>DanhsachNguoiluutru!U64</f>
        <v>Du Lịch</v>
      </c>
      <c r="AB62" s="18">
        <f>DanhsachNguoiluutru!V64</f>
        <v>402</v>
      </c>
    </row>
    <row r="63" spans="1:28" x14ac:dyDescent="0.3">
      <c r="A63" s="18" t="str">
        <f>DanhsachNguoiluutru!B65</f>
        <v>Lê Ngọc Phương</v>
      </c>
      <c r="B63" s="18" t="str">
        <f>DanhsachNguoiluutru!C65</f>
        <v>16/07/1980</v>
      </c>
      <c r="C63" s="18" t="str">
        <f>INDEX(GioiTinh!$A:$A,MATCH(DanhsachNguoiluutru!D65,GioiTinh!$B:$B,0))</f>
        <v>3</v>
      </c>
      <c r="D63" s="18" t="str">
        <f>DanhsachNguoiluutru!D65</f>
        <v>Giới tính Nữ</v>
      </c>
      <c r="E63" s="18" t="str">
        <f>DanhsachNguoiluutru!E65</f>
        <v>019180041417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str">
        <f>INDEX(NgheNghiep!$A:$A,MATCH(DanhsachNguoiluutru!I65,NgheNghiep!$B:$B,0))</f>
        <v>TUDO</v>
      </c>
      <c r="J63" s="18" t="str">
        <f>DanhsachNguoiluutru!I65</f>
        <v>Tự do</v>
      </c>
      <c r="K63" s="18" t="str">
        <f>DanhsachNguoiluutru!J65</f>
        <v>Tân Khánh</v>
      </c>
      <c r="L63" s="18" t="str">
        <f>INDEX(DanToc!$A:$A,MATCH(DanhsachNguoiluutru!K65,DanToc!$B:$B,0))</f>
        <v>01</v>
      </c>
      <c r="M63" s="18" t="str">
        <f>DanhsachNguoiluutru!K65</f>
        <v>Kinh</v>
      </c>
      <c r="N63" s="18" t="str">
        <f>INDEX(QuocTich!$A:$A,MATCH(DanhsachNguoiluutru!L65,QuocTich!$B:$B,0))</f>
        <v>VN</v>
      </c>
      <c r="O63" s="18" t="str">
        <f>DanhsachNguoiluutru!L65</f>
        <v>Việt Nam</v>
      </c>
      <c r="P63" s="18" t="str">
        <f>INDEX(QuocGia!$A:$A,MATCH(DanhsachNguoiluutru!M65,QuocGia!$B:$B,0))</f>
        <v>VN</v>
      </c>
      <c r="Q63" s="18" t="str">
        <f>DanhsachNguoiluutru!M65</f>
        <v>Cộng hòa xã hội chủ nghĩa Việt Nam</v>
      </c>
      <c r="R63" s="18" t="str">
        <f>INDEX(TinhThanh!$C:$C,MATCH(DanhsachNguoiluutru!N65,TinhThanh!$B:$B,0))</f>
        <v>36</v>
      </c>
      <c r="S63" s="18" t="str">
        <f ca="1">INDEX(OFFSET(QuanHuyen!$C$1,MATCH(extracted!$R63,QuanHuyen!$A:$A,0)-1,0,10000,1),MATCH(DanhsachNguoiluutru!$O65,OFFSET(QuanHuyen!$B$1,MATCH(extracted!$R63,QuanHuyen!$A:$A,0)-1,0,10000,1), 0))</f>
        <v>359</v>
      </c>
      <c r="T63" s="18" t="str">
        <f ca="1">INDEX(OFFSET(PhuongXa!$C$1,MATCH(extracted!$S63,PhuongXa!$A:$A,0)-1,0,10000,1),MATCH(DanhsachNguoiluutru!$P65,OFFSET(PhuongXa!$B$1,MATCH(extracted!$S63,PhuongXa!$A:$A,0)-1,0,10000,1), 0))</f>
        <v>13750</v>
      </c>
      <c r="U63" s="18" t="str">
        <f>DanhsachNguoiluutru!Q65</f>
        <v>Tân Khánh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>Tân Khánh, Xã Tân Khánh, Huyện Vụ Bản, Tỉnh Nam Định</v>
      </c>
      <c r="W63" s="18">
        <f>VLOOKUP(DanhsachNguoiluutru!$R65,DanhMuc!$A$2:$B$4,2,FALSE)</f>
        <v>1</v>
      </c>
      <c r="X63" s="18" t="str">
        <f>DanhsachNguoiluutru!R65</f>
        <v>Tạm trú</v>
      </c>
      <c r="Y63" s="18" t="str">
        <f>DanhsachNguoiluutru!S65</f>
        <v>07/07/2023</v>
      </c>
      <c r="Z63" s="18" t="str">
        <f>DanhsachNguoiluutru!T65</f>
        <v>09/07/2023</v>
      </c>
      <c r="AA63" s="18" t="str">
        <f>DanhsachNguoiluutru!U65</f>
        <v>Du Lịch</v>
      </c>
      <c r="AB63" s="18">
        <f>DanhsachNguoiluutru!V65</f>
        <v>402</v>
      </c>
    </row>
    <row r="64" spans="1:28" x14ac:dyDescent="0.3">
      <c r="A64" s="18" t="str">
        <f>DanhsachNguoiluutru!B66</f>
        <v>Nguyễn Ngọc Nhi</v>
      </c>
      <c r="B64" s="18" t="str">
        <f>DanhsachNguoiluutru!C66</f>
        <v>12/01/1985</v>
      </c>
      <c r="C64" s="18" t="str">
        <f>INDEX(GioiTinh!$A:$A,MATCH(DanhsachNguoiluutru!D66,GioiTinh!$B:$B,0))</f>
        <v>3</v>
      </c>
      <c r="D64" s="18" t="str">
        <f>DanhsachNguoiluutru!D66</f>
        <v>Giới tính Nữ</v>
      </c>
      <c r="E64" s="18" t="str">
        <f>DanhsachNguoiluutru!E66</f>
        <v>019185331729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str">
        <f>INDEX(NgheNghiep!$A:$A,MATCH(DanhsachNguoiluutru!I66,NgheNghiep!$B:$B,0))</f>
        <v>TUDO</v>
      </c>
      <c r="J64" s="18" t="str">
        <f>DanhsachNguoiluutru!I66</f>
        <v>Tự do</v>
      </c>
      <c r="K64" s="18" t="str">
        <f>DanhsachNguoiluutru!J66</f>
        <v>Tân Khánh</v>
      </c>
      <c r="L64" s="18" t="str">
        <f>INDEX(DanToc!$A:$A,MATCH(DanhsachNguoiluutru!K66,DanToc!$B:$B,0))</f>
        <v>01</v>
      </c>
      <c r="M64" s="18" t="str">
        <f>DanhsachNguoiluutru!K66</f>
        <v>Kinh</v>
      </c>
      <c r="N64" s="18" t="str">
        <f>INDEX(QuocTich!$A:$A,MATCH(DanhsachNguoiluutru!L66,QuocTich!$B:$B,0))</f>
        <v>VN</v>
      </c>
      <c r="O64" s="18" t="str">
        <f>DanhsachNguoiluutru!L66</f>
        <v>Việt Nam</v>
      </c>
      <c r="P64" s="18" t="str">
        <f>INDEX(QuocGia!$A:$A,MATCH(DanhsachNguoiluutru!M66,QuocGia!$B:$B,0))</f>
        <v>VN</v>
      </c>
      <c r="Q64" s="18" t="str">
        <f>DanhsachNguoiluutru!M66</f>
        <v>Cộng hòa xã hội chủ nghĩa Việt Nam</v>
      </c>
      <c r="R64" s="18" t="str">
        <f>INDEX(TinhThanh!$C:$C,MATCH(DanhsachNguoiluutru!N66,TinhThanh!$B:$B,0))</f>
        <v>36</v>
      </c>
      <c r="S64" s="18" t="str">
        <f ca="1">INDEX(OFFSET(QuanHuyen!$C$1,MATCH(extracted!$R64,QuanHuyen!$A:$A,0)-1,0,10000,1),MATCH(DanhsachNguoiluutru!$O66,OFFSET(QuanHuyen!$B$1,MATCH(extracted!$R64,QuanHuyen!$A:$A,0)-1,0,10000,1), 0))</f>
        <v>359</v>
      </c>
      <c r="T64" s="18" t="str">
        <f ca="1">INDEX(OFFSET(PhuongXa!$C$1,MATCH(extracted!$S64,PhuongXa!$A:$A,0)-1,0,10000,1),MATCH(DanhsachNguoiluutru!$P66,OFFSET(PhuongXa!$B$1,MATCH(extracted!$S64,PhuongXa!$A:$A,0)-1,0,10000,1), 0))</f>
        <v>13750</v>
      </c>
      <c r="U64" s="18" t="str">
        <f>DanhsachNguoiluutru!Q66</f>
        <v>Tân Khánh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>Tân Khánh, Xã Tân Khánh, Huyện Vụ Bản, Tỉnh Nam Định</v>
      </c>
      <c r="W64" s="18">
        <f>VLOOKUP(DanhsachNguoiluutru!$R66,DanhMuc!$A$2:$B$4,2,FALSE)</f>
        <v>1</v>
      </c>
      <c r="X64" s="18" t="str">
        <f>DanhsachNguoiluutru!R66</f>
        <v>Tạm trú</v>
      </c>
      <c r="Y64" s="18" t="str">
        <f>DanhsachNguoiluutru!S66</f>
        <v>07/07/2023</v>
      </c>
      <c r="Z64" s="18" t="str">
        <f>DanhsachNguoiluutru!T66</f>
        <v>09/07/2023</v>
      </c>
      <c r="AA64" s="18" t="str">
        <f>DanhsachNguoiluutru!U66</f>
        <v>Du Lịch</v>
      </c>
      <c r="AB64" s="18">
        <f>DanhsachNguoiluutru!V66</f>
        <v>402</v>
      </c>
    </row>
    <row r="65" spans="1:28" x14ac:dyDescent="0.3">
      <c r="A65" s="18" t="str">
        <f>DanhsachNguoiluutru!B67</f>
        <v>Vũ Thị Oanh</v>
      </c>
      <c r="B65" s="18" t="str">
        <f>DanhsachNguoiluutru!C67</f>
        <v>11/05/1994</v>
      </c>
      <c r="C65" s="18" t="str">
        <f>INDEX(GioiTinh!$A:$A,MATCH(DanhsachNguoiluutru!D67,GioiTinh!$B:$B,0))</f>
        <v>3</v>
      </c>
      <c r="D65" s="18" t="str">
        <f>DanhsachNguoiluutru!D67</f>
        <v>Giới tính Nữ</v>
      </c>
      <c r="E65" s="18" t="str">
        <f>DanhsachNguoiluutru!E67</f>
        <v>019194205010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str">
        <f>INDEX(NgheNghiep!$A:$A,MATCH(DanhsachNguoiluutru!I67,NgheNghiep!$B:$B,0))</f>
        <v>TUDO</v>
      </c>
      <c r="J65" s="18" t="str">
        <f>DanhsachNguoiluutru!I67</f>
        <v>Tự do</v>
      </c>
      <c r="K65" s="18" t="str">
        <f>DanhsachNguoiluutru!J67</f>
        <v>Tân Khánh</v>
      </c>
      <c r="L65" s="18" t="str">
        <f>INDEX(DanToc!$A:$A,MATCH(DanhsachNguoiluutru!K67,DanToc!$B:$B,0))</f>
        <v>01</v>
      </c>
      <c r="M65" s="18" t="str">
        <f>DanhsachNguoiluutru!K67</f>
        <v>Kinh</v>
      </c>
      <c r="N65" s="18" t="str">
        <f>INDEX(QuocTich!$A:$A,MATCH(DanhsachNguoiluutru!L67,QuocTich!$B:$B,0))</f>
        <v>VN</v>
      </c>
      <c r="O65" s="18" t="str">
        <f>DanhsachNguoiluutru!L67</f>
        <v>Việt Nam</v>
      </c>
      <c r="P65" s="18" t="str">
        <f>INDEX(QuocGia!$A:$A,MATCH(DanhsachNguoiluutru!M67,QuocGia!$B:$B,0))</f>
        <v>VN</v>
      </c>
      <c r="Q65" s="18" t="str">
        <f>DanhsachNguoiluutru!M67</f>
        <v>Cộng hòa xã hội chủ nghĩa Việt Nam</v>
      </c>
      <c r="R65" s="18" t="str">
        <f>INDEX(TinhThanh!$C:$C,MATCH(DanhsachNguoiluutru!N67,TinhThanh!$B:$B,0))</f>
        <v>36</v>
      </c>
      <c r="S65" s="18" t="str">
        <f ca="1">INDEX(OFFSET(QuanHuyen!$C$1,MATCH(extracted!$R65,QuanHuyen!$A:$A,0)-1,0,10000,1),MATCH(DanhsachNguoiluutru!$O67,OFFSET(QuanHuyen!$B$1,MATCH(extracted!$R65,QuanHuyen!$A:$A,0)-1,0,10000,1), 0))</f>
        <v>359</v>
      </c>
      <c r="T65" s="18" t="str">
        <f ca="1">INDEX(OFFSET(PhuongXa!$C$1,MATCH(extracted!$S65,PhuongXa!$A:$A,0)-1,0,10000,1),MATCH(DanhsachNguoiluutru!$P67,OFFSET(PhuongXa!$B$1,MATCH(extracted!$S65,PhuongXa!$A:$A,0)-1,0,10000,1), 0))</f>
        <v>13750</v>
      </c>
      <c r="U65" s="18" t="str">
        <f>DanhsachNguoiluutru!Q67</f>
        <v>Tân Khánh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>Tân Khánh, Xã Tân Khánh, Huyện Vụ Bản, Tỉnh Nam Định</v>
      </c>
      <c r="W65" s="18">
        <f>VLOOKUP(DanhsachNguoiluutru!$R67,DanhMuc!$A$2:$B$4,2,FALSE)</f>
        <v>1</v>
      </c>
      <c r="X65" s="18" t="str">
        <f>DanhsachNguoiluutru!R67</f>
        <v>Tạm trú</v>
      </c>
      <c r="Y65" s="18" t="str">
        <f>DanhsachNguoiluutru!S67</f>
        <v>07/07/2023</v>
      </c>
      <c r="Z65" s="18" t="str">
        <f>DanhsachNguoiluutru!T67</f>
        <v>09/07/2023</v>
      </c>
      <c r="AA65" s="18" t="str">
        <f>DanhsachNguoiluutru!U67</f>
        <v>Du Lịch</v>
      </c>
      <c r="AB65" s="18">
        <f>DanhsachNguoiluutru!V67</f>
        <v>403</v>
      </c>
    </row>
    <row r="66" spans="1:28" x14ac:dyDescent="0.3">
      <c r="A66" s="18" t="str">
        <f>DanhsachNguoiluutru!B68</f>
        <v>Mai Long Bình</v>
      </c>
      <c r="B66" s="18" t="str">
        <f>DanhsachNguoiluutru!C68</f>
        <v>25/06/1986</v>
      </c>
      <c r="C66" s="18" t="str">
        <f>INDEX(GioiTinh!$A:$A,MATCH(DanhsachNguoiluutru!D68,GioiTinh!$B:$B,0))</f>
        <v>2</v>
      </c>
      <c r="D66" s="18" t="str">
        <f>DanhsachNguoiluutru!D68</f>
        <v>Giới tính Nam</v>
      </c>
      <c r="E66" s="18" t="str">
        <f>DanhsachNguoiluutru!E68</f>
        <v>019086017161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str">
        <f>INDEX(NgheNghiep!$A:$A,MATCH(DanhsachNguoiluutru!I68,NgheNghiep!$B:$B,0))</f>
        <v>TUDO</v>
      </c>
      <c r="J66" s="18" t="str">
        <f>DanhsachNguoiluutru!I68</f>
        <v>Tự do</v>
      </c>
      <c r="K66" s="18" t="str">
        <f>DanhsachNguoiluutru!J68</f>
        <v>Tân Khánh</v>
      </c>
      <c r="L66" s="18" t="str">
        <f>INDEX(DanToc!$A:$A,MATCH(DanhsachNguoiluutru!K68,DanToc!$B:$B,0))</f>
        <v>01</v>
      </c>
      <c r="M66" s="18" t="str">
        <f>DanhsachNguoiluutru!K68</f>
        <v>Kinh</v>
      </c>
      <c r="N66" s="18" t="str">
        <f>INDEX(QuocTich!$A:$A,MATCH(DanhsachNguoiluutru!L68,QuocTich!$B:$B,0))</f>
        <v>VN</v>
      </c>
      <c r="O66" s="18" t="str">
        <f>DanhsachNguoiluutru!L68</f>
        <v>Việt Nam</v>
      </c>
      <c r="P66" s="18" t="str">
        <f>INDEX(QuocGia!$A:$A,MATCH(DanhsachNguoiluutru!M68,QuocGia!$B:$B,0))</f>
        <v>VN</v>
      </c>
      <c r="Q66" s="18" t="str">
        <f>DanhsachNguoiluutru!M68</f>
        <v>Cộng hòa xã hội chủ nghĩa Việt Nam</v>
      </c>
      <c r="R66" s="18" t="str">
        <f>INDEX(TinhThanh!$C:$C,MATCH(DanhsachNguoiluutru!N68,TinhThanh!$B:$B,0))</f>
        <v>36</v>
      </c>
      <c r="S66" s="18" t="str">
        <f ca="1">INDEX(OFFSET(QuanHuyen!$C$1,MATCH(extracted!$R66,QuanHuyen!$A:$A,0)-1,0,10000,1),MATCH(DanhsachNguoiluutru!$O68,OFFSET(QuanHuyen!$B$1,MATCH(extracted!$R66,QuanHuyen!$A:$A,0)-1,0,10000,1), 0))</f>
        <v>359</v>
      </c>
      <c r="T66" s="18" t="str">
        <f ca="1">INDEX(OFFSET(PhuongXa!$C$1,MATCH(extracted!$S66,PhuongXa!$A:$A,0)-1,0,10000,1),MATCH(DanhsachNguoiluutru!$P68,OFFSET(PhuongXa!$B$1,MATCH(extracted!$S66,PhuongXa!$A:$A,0)-1,0,10000,1), 0))</f>
        <v>13750</v>
      </c>
      <c r="U66" s="18" t="str">
        <f>DanhsachNguoiluutru!Q68</f>
        <v>Tân Khánh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>Tân Khánh, Xã Tân Khánh, Huyện Vụ Bản, Tỉnh Nam Định</v>
      </c>
      <c r="W66" s="18">
        <f>VLOOKUP(DanhsachNguoiluutru!$R68,DanhMuc!$A$2:$B$4,2,FALSE)</f>
        <v>1</v>
      </c>
      <c r="X66" s="18" t="str">
        <f>DanhsachNguoiluutru!R68</f>
        <v>Tạm trú</v>
      </c>
      <c r="Y66" s="18" t="str">
        <f>DanhsachNguoiluutru!S68</f>
        <v>07/07/2023</v>
      </c>
      <c r="Z66" s="18" t="str">
        <f>DanhsachNguoiluutru!T68</f>
        <v>09/07/2023</v>
      </c>
      <c r="AA66" s="18" t="str">
        <f>DanhsachNguoiluutru!U68</f>
        <v>Du Lịch</v>
      </c>
      <c r="AB66" s="18">
        <f>DanhsachNguoiluutru!V68</f>
        <v>403</v>
      </c>
    </row>
    <row r="67" spans="1:28" x14ac:dyDescent="0.3">
      <c r="A67" s="18" t="str">
        <f>DanhsachNguoiluutru!B69</f>
        <v>Phạm Thu Hà</v>
      </c>
      <c r="B67" s="18" t="str">
        <f>DanhsachNguoiluutru!C69</f>
        <v>01/04/1979</v>
      </c>
      <c r="C67" s="18" t="str">
        <f>INDEX(GioiTinh!$A:$A,MATCH(DanhsachNguoiluutru!D69,GioiTinh!$B:$B,0))</f>
        <v>3</v>
      </c>
      <c r="D67" s="18" t="str">
        <f>DanhsachNguoiluutru!D69</f>
        <v>Giới tính Nữ</v>
      </c>
      <c r="E67" s="18" t="str">
        <f>DanhsachNguoiluutru!E69</f>
        <v>019179105277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str">
        <f>INDEX(NgheNghiep!$A:$A,MATCH(DanhsachNguoiluutru!I69,NgheNghiep!$B:$B,0))</f>
        <v>TUDO</v>
      </c>
      <c r="J67" s="18" t="str">
        <f>DanhsachNguoiluutru!I69</f>
        <v>Tự do</v>
      </c>
      <c r="K67" s="18" t="str">
        <f>DanhsachNguoiluutru!J69</f>
        <v>Tân Khánh</v>
      </c>
      <c r="L67" s="18" t="str">
        <f>INDEX(DanToc!$A:$A,MATCH(DanhsachNguoiluutru!K69,DanToc!$B:$B,0))</f>
        <v>01</v>
      </c>
      <c r="M67" s="18" t="str">
        <f>DanhsachNguoiluutru!K69</f>
        <v>Kinh</v>
      </c>
      <c r="N67" s="18" t="str">
        <f>INDEX(QuocTich!$A:$A,MATCH(DanhsachNguoiluutru!L69,QuocTich!$B:$B,0))</f>
        <v>VN</v>
      </c>
      <c r="O67" s="18" t="str">
        <f>DanhsachNguoiluutru!L69</f>
        <v>Việt Nam</v>
      </c>
      <c r="P67" s="18" t="str">
        <f>INDEX(QuocGia!$A:$A,MATCH(DanhsachNguoiluutru!M69,QuocGia!$B:$B,0))</f>
        <v>VN</v>
      </c>
      <c r="Q67" s="18" t="str">
        <f>DanhsachNguoiluutru!M69</f>
        <v>Cộng hòa xã hội chủ nghĩa Việt Nam</v>
      </c>
      <c r="R67" s="18" t="str">
        <f>INDEX(TinhThanh!$C:$C,MATCH(DanhsachNguoiluutru!N69,TinhThanh!$B:$B,0))</f>
        <v>36</v>
      </c>
      <c r="S67" s="18" t="str">
        <f ca="1">INDEX(OFFSET(QuanHuyen!$C$1,MATCH(extracted!$R67,QuanHuyen!$A:$A,0)-1,0,10000,1),MATCH(DanhsachNguoiluutru!$O69,OFFSET(QuanHuyen!$B$1,MATCH(extracted!$R67,QuanHuyen!$A:$A,0)-1,0,10000,1), 0))</f>
        <v>359</v>
      </c>
      <c r="T67" s="18" t="str">
        <f ca="1">INDEX(OFFSET(PhuongXa!$C$1,MATCH(extracted!$S67,PhuongXa!$A:$A,0)-1,0,10000,1),MATCH(DanhsachNguoiluutru!$P69,OFFSET(PhuongXa!$B$1,MATCH(extracted!$S67,PhuongXa!$A:$A,0)-1,0,10000,1), 0))</f>
        <v>13750</v>
      </c>
      <c r="U67" s="18" t="str">
        <f>DanhsachNguoiluutru!Q69</f>
        <v>Tân Khánh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>Tân Khánh, Xã Tân Khánh, Huyện Vụ Bản, Tỉnh Nam Định</v>
      </c>
      <c r="W67" s="18">
        <f>VLOOKUP(DanhsachNguoiluutru!$R69,DanhMuc!$A$2:$B$4,2,FALSE)</f>
        <v>1</v>
      </c>
      <c r="X67" s="18" t="str">
        <f>DanhsachNguoiluutru!R69</f>
        <v>Tạm trú</v>
      </c>
      <c r="Y67" s="18" t="str">
        <f>DanhsachNguoiluutru!S69</f>
        <v>07/07/2023</v>
      </c>
      <c r="Z67" s="18" t="str">
        <f>DanhsachNguoiluutru!T69</f>
        <v>09/07/2023</v>
      </c>
      <c r="AA67" s="18" t="str">
        <f>DanhsachNguoiluutru!U69</f>
        <v>Du Lịch</v>
      </c>
      <c r="AB67" s="18">
        <f>DanhsachNguoiluutru!V69</f>
        <v>403</v>
      </c>
    </row>
    <row r="68" spans="1:28" x14ac:dyDescent="0.3">
      <c r="A68" s="18" t="str">
        <f>DanhsachNguoiluutru!B70</f>
        <v>Lương Thu Trang</v>
      </c>
      <c r="B68" s="18" t="str">
        <f>DanhsachNguoiluutru!C70</f>
        <v>22/07/1990</v>
      </c>
      <c r="C68" s="18" t="str">
        <f>INDEX(GioiTinh!$A:$A,MATCH(DanhsachNguoiluutru!D70,GioiTinh!$B:$B,0))</f>
        <v>3</v>
      </c>
      <c r="D68" s="18" t="str">
        <f>DanhsachNguoiluutru!D70</f>
        <v>Giới tính Nữ</v>
      </c>
      <c r="E68" s="18" t="str">
        <f>DanhsachNguoiluutru!E70</f>
        <v>019190119282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str">
        <f>INDEX(NgheNghiep!$A:$A,MATCH(DanhsachNguoiluutru!I70,NgheNghiep!$B:$B,0))</f>
        <v>TUDO</v>
      </c>
      <c r="J68" s="18" t="str">
        <f>DanhsachNguoiluutru!I70</f>
        <v>Tự do</v>
      </c>
      <c r="K68" s="18" t="str">
        <f>DanhsachNguoiluutru!J70</f>
        <v>Tân Khánh</v>
      </c>
      <c r="L68" s="18" t="str">
        <f>INDEX(DanToc!$A:$A,MATCH(DanhsachNguoiluutru!K70,DanToc!$B:$B,0))</f>
        <v>01</v>
      </c>
      <c r="M68" s="18" t="str">
        <f>DanhsachNguoiluutru!K70</f>
        <v>Kinh</v>
      </c>
      <c r="N68" s="18" t="str">
        <f>INDEX(QuocTich!$A:$A,MATCH(DanhsachNguoiluutru!L70,QuocTich!$B:$B,0))</f>
        <v>VN</v>
      </c>
      <c r="O68" s="18" t="str">
        <f>DanhsachNguoiluutru!L70</f>
        <v>Việt Nam</v>
      </c>
      <c r="P68" s="18" t="str">
        <f>INDEX(QuocGia!$A:$A,MATCH(DanhsachNguoiluutru!M70,QuocGia!$B:$B,0))</f>
        <v>VN</v>
      </c>
      <c r="Q68" s="18" t="str">
        <f>DanhsachNguoiluutru!M70</f>
        <v>Cộng hòa xã hội chủ nghĩa Việt Nam</v>
      </c>
      <c r="R68" s="18" t="str">
        <f>INDEX(TinhThanh!$C:$C,MATCH(DanhsachNguoiluutru!N70,TinhThanh!$B:$B,0))</f>
        <v>36</v>
      </c>
      <c r="S68" s="18" t="str">
        <f ca="1">INDEX(OFFSET(QuanHuyen!$C$1,MATCH(extracted!$R68,QuanHuyen!$A:$A,0)-1,0,10000,1),MATCH(DanhsachNguoiluutru!$O70,OFFSET(QuanHuyen!$B$1,MATCH(extracted!$R68,QuanHuyen!$A:$A,0)-1,0,10000,1), 0))</f>
        <v>359</v>
      </c>
      <c r="T68" s="18" t="str">
        <f ca="1">INDEX(OFFSET(PhuongXa!$C$1,MATCH(extracted!$S68,PhuongXa!$A:$A,0)-1,0,10000,1),MATCH(DanhsachNguoiluutru!$P70,OFFSET(PhuongXa!$B$1,MATCH(extracted!$S68,PhuongXa!$A:$A,0)-1,0,10000,1), 0))</f>
        <v>13750</v>
      </c>
      <c r="U68" s="18" t="str">
        <f>DanhsachNguoiluutru!Q70</f>
        <v>Tân Khánh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>Tân Khánh, Xã Tân Khánh, Huyện Vụ Bản, Tỉnh Nam Định</v>
      </c>
      <c r="W68" s="18">
        <f>VLOOKUP(DanhsachNguoiluutru!$R70,DanhMuc!$A$2:$B$4,2,FALSE)</f>
        <v>1</v>
      </c>
      <c r="X68" s="18" t="str">
        <f>DanhsachNguoiluutru!R70</f>
        <v>Tạm trú</v>
      </c>
      <c r="Y68" s="18" t="str">
        <f>DanhsachNguoiluutru!S70</f>
        <v>07/07/2023</v>
      </c>
      <c r="Z68" s="18" t="str">
        <f>DanhsachNguoiluutru!T70</f>
        <v>09/07/2023</v>
      </c>
      <c r="AA68" s="18" t="str">
        <f>DanhsachNguoiluutru!U70</f>
        <v>Du Lịch</v>
      </c>
      <c r="AB68" s="18">
        <f>DanhsachNguoiluutru!V70</f>
        <v>403</v>
      </c>
    </row>
    <row r="69" spans="1:28" x14ac:dyDescent="0.3">
      <c r="A69" s="18" t="str">
        <f>DanhsachNguoiluutru!B71</f>
        <v>Trịnh Sơn Hiếu</v>
      </c>
      <c r="B69" s="18" t="str">
        <f>DanhsachNguoiluutru!C71</f>
        <v>20/06/1982</v>
      </c>
      <c r="C69" s="18" t="str">
        <f>INDEX(GioiTinh!$A:$A,MATCH(DanhsachNguoiluutru!D71,GioiTinh!$B:$B,0))</f>
        <v>2</v>
      </c>
      <c r="D69" s="18" t="str">
        <f>DanhsachNguoiluutru!D71</f>
        <v>Giới tính Nam</v>
      </c>
      <c r="E69" s="18" t="str">
        <f>DanhsachNguoiluutru!E71</f>
        <v>019082053638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str">
        <f>INDEX(NgheNghiep!$A:$A,MATCH(DanhsachNguoiluutru!I71,NgheNghiep!$B:$B,0))</f>
        <v>TUDO</v>
      </c>
      <c r="J69" s="18" t="str">
        <f>DanhsachNguoiluutru!I71</f>
        <v>Tự do</v>
      </c>
      <c r="K69" s="18" t="str">
        <f>DanhsachNguoiluutru!J71</f>
        <v>Tân Khánh</v>
      </c>
      <c r="L69" s="18" t="str">
        <f>INDEX(DanToc!$A:$A,MATCH(DanhsachNguoiluutru!K71,DanToc!$B:$B,0))</f>
        <v>01</v>
      </c>
      <c r="M69" s="18" t="str">
        <f>DanhsachNguoiluutru!K71</f>
        <v>Kinh</v>
      </c>
      <c r="N69" s="18" t="str">
        <f>INDEX(QuocTich!$A:$A,MATCH(DanhsachNguoiluutru!L71,QuocTich!$B:$B,0))</f>
        <v>VN</v>
      </c>
      <c r="O69" s="18" t="str">
        <f>DanhsachNguoiluutru!L71</f>
        <v>Việt Nam</v>
      </c>
      <c r="P69" s="18" t="str">
        <f>INDEX(QuocGia!$A:$A,MATCH(DanhsachNguoiluutru!M71,QuocGia!$B:$B,0))</f>
        <v>VN</v>
      </c>
      <c r="Q69" s="18" t="str">
        <f>DanhsachNguoiluutru!M71</f>
        <v>Cộng hòa xã hội chủ nghĩa Việt Nam</v>
      </c>
      <c r="R69" s="18" t="str">
        <f>INDEX(TinhThanh!$C:$C,MATCH(DanhsachNguoiluutru!N71,TinhThanh!$B:$B,0))</f>
        <v>36</v>
      </c>
      <c r="S69" s="18" t="str">
        <f ca="1">INDEX(OFFSET(QuanHuyen!$C$1,MATCH(extracted!$R69,QuanHuyen!$A:$A,0)-1,0,10000,1),MATCH(DanhsachNguoiluutru!$O71,OFFSET(QuanHuyen!$B$1,MATCH(extracted!$R69,QuanHuyen!$A:$A,0)-1,0,10000,1), 0))</f>
        <v>359</v>
      </c>
      <c r="T69" s="18" t="str">
        <f ca="1">INDEX(OFFSET(PhuongXa!$C$1,MATCH(extracted!$S69,PhuongXa!$A:$A,0)-1,0,10000,1),MATCH(DanhsachNguoiluutru!$P71,OFFSET(PhuongXa!$B$1,MATCH(extracted!$S69,PhuongXa!$A:$A,0)-1,0,10000,1), 0))</f>
        <v>13750</v>
      </c>
      <c r="U69" s="18" t="str">
        <f>DanhsachNguoiluutru!Q71</f>
        <v>Tân Khánh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>Tân Khánh, Xã Tân Khánh, Huyện Vụ Bản, Tỉnh Nam Định</v>
      </c>
      <c r="W69" s="18">
        <f>VLOOKUP(DanhsachNguoiluutru!$R71,DanhMuc!$A$2:$B$4,2,FALSE)</f>
        <v>1</v>
      </c>
      <c r="X69" s="18" t="str">
        <f>DanhsachNguoiluutru!R71</f>
        <v>Tạm trú</v>
      </c>
      <c r="Y69" s="18" t="str">
        <f>DanhsachNguoiluutru!S71</f>
        <v>07/07/2023</v>
      </c>
      <c r="Z69" s="18" t="str">
        <f>DanhsachNguoiluutru!T71</f>
        <v>09/07/2023</v>
      </c>
      <c r="AA69" s="18" t="str">
        <f>DanhsachNguoiluutru!U71</f>
        <v>Du Lịch</v>
      </c>
      <c r="AB69" s="18">
        <f>DanhsachNguoiluutru!V71</f>
        <v>404</v>
      </c>
    </row>
    <row r="70" spans="1:28" x14ac:dyDescent="0.3">
      <c r="A70" s="18" t="str">
        <f>DanhsachNguoiluutru!B72</f>
        <v>Hồ Văn Thủy</v>
      </c>
      <c r="B70" s="18" t="str">
        <f>DanhsachNguoiluutru!C72</f>
        <v>15/10/1993</v>
      </c>
      <c r="C70" s="18" t="str">
        <f>INDEX(GioiTinh!$A:$A,MATCH(DanhsachNguoiluutru!D72,GioiTinh!$B:$B,0))</f>
        <v>2</v>
      </c>
      <c r="D70" s="18" t="str">
        <f>DanhsachNguoiluutru!D72</f>
        <v>Giới tính Nam</v>
      </c>
      <c r="E70" s="18" t="str">
        <f>DanhsachNguoiluutru!E72</f>
        <v>019093735822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str">
        <f>INDEX(NgheNghiep!$A:$A,MATCH(DanhsachNguoiluutru!I72,NgheNghiep!$B:$B,0))</f>
        <v>TUDO</v>
      </c>
      <c r="J70" s="18" t="str">
        <f>DanhsachNguoiluutru!I72</f>
        <v>Tự do</v>
      </c>
      <c r="K70" s="18" t="str">
        <f>DanhsachNguoiluutru!J72</f>
        <v>Tân Khánh</v>
      </c>
      <c r="L70" s="18" t="str">
        <f>INDEX(DanToc!$A:$A,MATCH(DanhsachNguoiluutru!K72,DanToc!$B:$B,0))</f>
        <v>01</v>
      </c>
      <c r="M70" s="18" t="str">
        <f>DanhsachNguoiluutru!K72</f>
        <v>Kinh</v>
      </c>
      <c r="N70" s="18" t="str">
        <f>INDEX(QuocTich!$A:$A,MATCH(DanhsachNguoiluutru!L72,QuocTich!$B:$B,0))</f>
        <v>VN</v>
      </c>
      <c r="O70" s="18" t="str">
        <f>DanhsachNguoiluutru!L72</f>
        <v>Việt Nam</v>
      </c>
      <c r="P70" s="18" t="str">
        <f>INDEX(QuocGia!$A:$A,MATCH(DanhsachNguoiluutru!M72,QuocGia!$B:$B,0))</f>
        <v>VN</v>
      </c>
      <c r="Q70" s="18" t="str">
        <f>DanhsachNguoiluutru!M72</f>
        <v>Cộng hòa xã hội chủ nghĩa Việt Nam</v>
      </c>
      <c r="R70" s="18" t="str">
        <f>INDEX(TinhThanh!$C:$C,MATCH(DanhsachNguoiluutru!N72,TinhThanh!$B:$B,0))</f>
        <v>36</v>
      </c>
      <c r="S70" s="18" t="str">
        <f ca="1">INDEX(OFFSET(QuanHuyen!$C$1,MATCH(extracted!$R70,QuanHuyen!$A:$A,0)-1,0,10000,1),MATCH(DanhsachNguoiluutru!$O72,OFFSET(QuanHuyen!$B$1,MATCH(extracted!$R70,QuanHuyen!$A:$A,0)-1,0,10000,1), 0))</f>
        <v>359</v>
      </c>
      <c r="T70" s="18" t="str">
        <f ca="1">INDEX(OFFSET(PhuongXa!$C$1,MATCH(extracted!$S70,PhuongXa!$A:$A,0)-1,0,10000,1),MATCH(DanhsachNguoiluutru!$P72,OFFSET(PhuongXa!$B$1,MATCH(extracted!$S70,PhuongXa!$A:$A,0)-1,0,10000,1), 0))</f>
        <v>13750</v>
      </c>
      <c r="U70" s="18" t="str">
        <f>DanhsachNguoiluutru!Q72</f>
        <v>Tân Khánh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>Tân Khánh, Xã Tân Khánh, Huyện Vụ Bản, Tỉnh Nam Định</v>
      </c>
      <c r="W70" s="18">
        <f>VLOOKUP(DanhsachNguoiluutru!$R72,DanhMuc!$A$2:$B$4,2,FALSE)</f>
        <v>1</v>
      </c>
      <c r="X70" s="18" t="str">
        <f>DanhsachNguoiluutru!R72</f>
        <v>Tạm trú</v>
      </c>
      <c r="Y70" s="18" t="str">
        <f>DanhsachNguoiluutru!S72</f>
        <v>07/07/2023</v>
      </c>
      <c r="Z70" s="18" t="str">
        <f>DanhsachNguoiluutru!T72</f>
        <v>09/07/2023</v>
      </c>
      <c r="AA70" s="18" t="str">
        <f>DanhsachNguoiluutru!U72</f>
        <v>Du Lịch</v>
      </c>
      <c r="AB70" s="18">
        <f>DanhsachNguoiluutru!V72</f>
        <v>404</v>
      </c>
    </row>
    <row r="71" spans="1:28" x14ac:dyDescent="0.3">
      <c r="A71" s="18" t="str">
        <f>DanhsachNguoiluutru!B73</f>
        <v>Bùi Thị Nhi</v>
      </c>
      <c r="B71" s="18" t="str">
        <f>DanhsachNguoiluutru!C73</f>
        <v>02/10/1982</v>
      </c>
      <c r="C71" s="18" t="str">
        <f>INDEX(GioiTinh!$A:$A,MATCH(DanhsachNguoiluutru!D73,GioiTinh!$B:$B,0))</f>
        <v>3</v>
      </c>
      <c r="D71" s="18" t="str">
        <f>DanhsachNguoiluutru!D73</f>
        <v>Giới tính Nữ</v>
      </c>
      <c r="E71" s="18" t="str">
        <f>DanhsachNguoiluutru!E73</f>
        <v>019182225183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str">
        <f>INDEX(NgheNghiep!$A:$A,MATCH(DanhsachNguoiluutru!I73,NgheNghiep!$B:$B,0))</f>
        <v>TUDO</v>
      </c>
      <c r="J71" s="18" t="str">
        <f>DanhsachNguoiluutru!I73</f>
        <v>Tự do</v>
      </c>
      <c r="K71" s="18" t="str">
        <f>DanhsachNguoiluutru!J73</f>
        <v>Tân Khánh</v>
      </c>
      <c r="L71" s="18" t="str">
        <f>INDEX(DanToc!$A:$A,MATCH(DanhsachNguoiluutru!K73,DanToc!$B:$B,0))</f>
        <v>01</v>
      </c>
      <c r="M71" s="18" t="str">
        <f>DanhsachNguoiluutru!K73</f>
        <v>Kinh</v>
      </c>
      <c r="N71" s="18" t="str">
        <f>INDEX(QuocTich!$A:$A,MATCH(DanhsachNguoiluutru!L73,QuocTich!$B:$B,0))</f>
        <v>VN</v>
      </c>
      <c r="O71" s="18" t="str">
        <f>DanhsachNguoiluutru!L73</f>
        <v>Việt Nam</v>
      </c>
      <c r="P71" s="18" t="str">
        <f>INDEX(QuocGia!$A:$A,MATCH(DanhsachNguoiluutru!M73,QuocGia!$B:$B,0))</f>
        <v>VN</v>
      </c>
      <c r="Q71" s="18" t="str">
        <f>DanhsachNguoiluutru!M73</f>
        <v>Cộng hòa xã hội chủ nghĩa Việt Nam</v>
      </c>
      <c r="R71" s="18" t="str">
        <f>INDEX(TinhThanh!$C:$C,MATCH(DanhsachNguoiluutru!N73,TinhThanh!$B:$B,0))</f>
        <v>36</v>
      </c>
      <c r="S71" s="18" t="str">
        <f ca="1">INDEX(OFFSET(QuanHuyen!$C$1,MATCH(extracted!$R71,QuanHuyen!$A:$A,0)-1,0,10000,1),MATCH(DanhsachNguoiluutru!$O73,OFFSET(QuanHuyen!$B$1,MATCH(extracted!$R71,QuanHuyen!$A:$A,0)-1,0,10000,1), 0))</f>
        <v>359</v>
      </c>
      <c r="T71" s="18" t="str">
        <f ca="1">INDEX(OFFSET(PhuongXa!$C$1,MATCH(extracted!$S71,PhuongXa!$A:$A,0)-1,0,10000,1),MATCH(DanhsachNguoiluutru!$P73,OFFSET(PhuongXa!$B$1,MATCH(extracted!$S71,PhuongXa!$A:$A,0)-1,0,10000,1), 0))</f>
        <v>13750</v>
      </c>
      <c r="U71" s="18" t="str">
        <f>DanhsachNguoiluutru!Q73</f>
        <v>Tân Khánh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>Tân Khánh, Xã Tân Khánh, Huyện Vụ Bản, Tỉnh Nam Định</v>
      </c>
      <c r="W71" s="18">
        <f>VLOOKUP(DanhsachNguoiluutru!$R73,DanhMuc!$A$2:$B$4,2,FALSE)</f>
        <v>1</v>
      </c>
      <c r="X71" s="18" t="str">
        <f>DanhsachNguoiluutru!R73</f>
        <v>Tạm trú</v>
      </c>
      <c r="Y71" s="18" t="str">
        <f>DanhsachNguoiluutru!S73</f>
        <v>07/07/2023</v>
      </c>
      <c r="Z71" s="18" t="str">
        <f>DanhsachNguoiluutru!T73</f>
        <v>09/07/2023</v>
      </c>
      <c r="AA71" s="18" t="str">
        <f>DanhsachNguoiluutru!U73</f>
        <v>Du Lịch</v>
      </c>
      <c r="AB71" s="18">
        <f>DanhsachNguoiluutru!V73</f>
        <v>404</v>
      </c>
    </row>
    <row r="72" spans="1:28" x14ac:dyDescent="0.3">
      <c r="A72" s="18" t="str">
        <f>DanhsachNguoiluutru!B74</f>
        <v>Trịnh Minh Long</v>
      </c>
      <c r="B72" s="18" t="str">
        <f>DanhsachNguoiluutru!C74</f>
        <v>22/04/1995</v>
      </c>
      <c r="C72" s="18" t="str">
        <f>INDEX(GioiTinh!$A:$A,MATCH(DanhsachNguoiluutru!D74,GioiTinh!$B:$B,0))</f>
        <v>2</v>
      </c>
      <c r="D72" s="18" t="str">
        <f>DanhsachNguoiluutru!D74</f>
        <v>Giới tính Nam</v>
      </c>
      <c r="E72" s="18" t="str">
        <f>DanhsachNguoiluutru!E74</f>
        <v>019095033619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str">
        <f>INDEX(NgheNghiep!$A:$A,MATCH(DanhsachNguoiluutru!I74,NgheNghiep!$B:$B,0))</f>
        <v>TUDO</v>
      </c>
      <c r="J72" s="18" t="str">
        <f>DanhsachNguoiluutru!I74</f>
        <v>Tự do</v>
      </c>
      <c r="K72" s="18" t="str">
        <f>DanhsachNguoiluutru!J74</f>
        <v>Tân Khánh</v>
      </c>
      <c r="L72" s="18" t="str">
        <f>INDEX(DanToc!$A:$A,MATCH(DanhsachNguoiluutru!K74,DanToc!$B:$B,0))</f>
        <v>01</v>
      </c>
      <c r="M72" s="18" t="str">
        <f>DanhsachNguoiluutru!K74</f>
        <v>Kinh</v>
      </c>
      <c r="N72" s="18" t="str">
        <f>INDEX(QuocTich!$A:$A,MATCH(DanhsachNguoiluutru!L74,QuocTich!$B:$B,0))</f>
        <v>VN</v>
      </c>
      <c r="O72" s="18" t="str">
        <f>DanhsachNguoiluutru!L74</f>
        <v>Việt Nam</v>
      </c>
      <c r="P72" s="18" t="str">
        <f>INDEX(QuocGia!$A:$A,MATCH(DanhsachNguoiluutru!M74,QuocGia!$B:$B,0))</f>
        <v>VN</v>
      </c>
      <c r="Q72" s="18" t="str">
        <f>DanhsachNguoiluutru!M74</f>
        <v>Cộng hòa xã hội chủ nghĩa Việt Nam</v>
      </c>
      <c r="R72" s="18" t="str">
        <f>INDEX(TinhThanh!$C:$C,MATCH(DanhsachNguoiluutru!N74,TinhThanh!$B:$B,0))</f>
        <v>36</v>
      </c>
      <c r="S72" s="18" t="str">
        <f ca="1">INDEX(OFFSET(QuanHuyen!$C$1,MATCH(extracted!$R72,QuanHuyen!$A:$A,0)-1,0,10000,1),MATCH(DanhsachNguoiluutru!$O74,OFFSET(QuanHuyen!$B$1,MATCH(extracted!$R72,QuanHuyen!$A:$A,0)-1,0,10000,1), 0))</f>
        <v>359</v>
      </c>
      <c r="T72" s="18" t="str">
        <f ca="1">INDEX(OFFSET(PhuongXa!$C$1,MATCH(extracted!$S72,PhuongXa!$A:$A,0)-1,0,10000,1),MATCH(DanhsachNguoiluutru!$P74,OFFSET(PhuongXa!$B$1,MATCH(extracted!$S72,PhuongXa!$A:$A,0)-1,0,10000,1), 0))</f>
        <v>13750</v>
      </c>
      <c r="U72" s="18" t="str">
        <f>DanhsachNguoiluutru!Q74</f>
        <v>Tân Khánh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>Tân Khánh, Xã Tân Khánh, Huyện Vụ Bản, Tỉnh Nam Định</v>
      </c>
      <c r="W72" s="18">
        <f>VLOOKUP(DanhsachNguoiluutru!$R74,DanhMuc!$A$2:$B$4,2,FALSE)</f>
        <v>1</v>
      </c>
      <c r="X72" s="18" t="str">
        <f>DanhsachNguoiluutru!R74</f>
        <v>Tạm trú</v>
      </c>
      <c r="Y72" s="18" t="str">
        <f>DanhsachNguoiluutru!S74</f>
        <v>07/07/2023</v>
      </c>
      <c r="Z72" s="18" t="str">
        <f>DanhsachNguoiluutru!T74</f>
        <v>09/07/2023</v>
      </c>
      <c r="AA72" s="18" t="str">
        <f>DanhsachNguoiluutru!U74</f>
        <v>Du Lịch</v>
      </c>
      <c r="AB72" s="18">
        <f>DanhsachNguoiluutru!V74</f>
        <v>404</v>
      </c>
    </row>
    <row r="73" spans="1:28" x14ac:dyDescent="0.3">
      <c r="A73" s="18" t="str">
        <f>DanhsachNguoiluutru!B75</f>
        <v>Trương Công Hải</v>
      </c>
      <c r="B73" s="18" t="str">
        <f>DanhsachNguoiluutru!C75</f>
        <v>20/04/1992</v>
      </c>
      <c r="C73" s="18" t="str">
        <f>INDEX(GioiTinh!$A:$A,MATCH(DanhsachNguoiluutru!D75,GioiTinh!$B:$B,0))</f>
        <v>2</v>
      </c>
      <c r="D73" s="18" t="str">
        <f>DanhsachNguoiluutru!D75</f>
        <v>Giới tính Nam</v>
      </c>
      <c r="E73" s="18" t="str">
        <f>DanhsachNguoiluutru!E75</f>
        <v>019092928205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str">
        <f>INDEX(NgheNghiep!$A:$A,MATCH(DanhsachNguoiluutru!I75,NgheNghiep!$B:$B,0))</f>
        <v>TUDO</v>
      </c>
      <c r="J73" s="18" t="str">
        <f>DanhsachNguoiluutru!I75</f>
        <v>Tự do</v>
      </c>
      <c r="K73" s="18" t="str">
        <f>DanhsachNguoiluutru!J75</f>
        <v>Tân Khánh</v>
      </c>
      <c r="L73" s="18" t="str">
        <f>INDEX(DanToc!$A:$A,MATCH(DanhsachNguoiluutru!K75,DanToc!$B:$B,0))</f>
        <v>01</v>
      </c>
      <c r="M73" s="18" t="str">
        <f>DanhsachNguoiluutru!K75</f>
        <v>Kinh</v>
      </c>
      <c r="N73" s="18" t="str">
        <f>INDEX(QuocTich!$A:$A,MATCH(DanhsachNguoiluutru!L75,QuocTich!$B:$B,0))</f>
        <v>VN</v>
      </c>
      <c r="O73" s="18" t="str">
        <f>DanhsachNguoiluutru!L75</f>
        <v>Việt Nam</v>
      </c>
      <c r="P73" s="18" t="str">
        <f>INDEX(QuocGia!$A:$A,MATCH(DanhsachNguoiluutru!M75,QuocGia!$B:$B,0))</f>
        <v>VN</v>
      </c>
      <c r="Q73" s="18" t="str">
        <f>DanhsachNguoiluutru!M75</f>
        <v>Cộng hòa xã hội chủ nghĩa Việt Nam</v>
      </c>
      <c r="R73" s="18" t="str">
        <f>INDEX(TinhThanh!$C:$C,MATCH(DanhsachNguoiluutru!N75,TinhThanh!$B:$B,0))</f>
        <v>36</v>
      </c>
      <c r="S73" s="18" t="str">
        <f ca="1">INDEX(OFFSET(QuanHuyen!$C$1,MATCH(extracted!$R73,QuanHuyen!$A:$A,0)-1,0,10000,1),MATCH(DanhsachNguoiluutru!$O75,OFFSET(QuanHuyen!$B$1,MATCH(extracted!$R73,QuanHuyen!$A:$A,0)-1,0,10000,1), 0))</f>
        <v>359</v>
      </c>
      <c r="T73" s="18" t="str">
        <f ca="1">INDEX(OFFSET(PhuongXa!$C$1,MATCH(extracted!$S73,PhuongXa!$A:$A,0)-1,0,10000,1),MATCH(DanhsachNguoiluutru!$P75,OFFSET(PhuongXa!$B$1,MATCH(extracted!$S73,PhuongXa!$A:$A,0)-1,0,10000,1), 0))</f>
        <v>13750</v>
      </c>
      <c r="U73" s="18" t="str">
        <f>DanhsachNguoiluutru!Q75</f>
        <v>Tân Khánh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>Tân Khánh, Xã Tân Khánh, Huyện Vụ Bản, Tỉnh Nam Định</v>
      </c>
      <c r="W73" s="18">
        <f>VLOOKUP(DanhsachNguoiluutru!$R75,DanhMuc!$A$2:$B$4,2,FALSE)</f>
        <v>1</v>
      </c>
      <c r="X73" s="18" t="str">
        <f>DanhsachNguoiluutru!R75</f>
        <v>Tạm trú</v>
      </c>
      <c r="Y73" s="18" t="str">
        <f>DanhsachNguoiluutru!S75</f>
        <v>07/07/2023</v>
      </c>
      <c r="Z73" s="18" t="str">
        <f>DanhsachNguoiluutru!T75</f>
        <v>09/07/2023</v>
      </c>
      <c r="AA73" s="18" t="str">
        <f>DanhsachNguoiluutru!U75</f>
        <v>Du Lịch</v>
      </c>
      <c r="AB73" s="18">
        <f>DanhsachNguoiluutru!V75</f>
        <v>405</v>
      </c>
    </row>
    <row r="74" spans="1:28" x14ac:dyDescent="0.3">
      <c r="A74" s="18" t="str">
        <f>DanhsachNguoiluutru!B76</f>
        <v>Vũ Linh Trâm</v>
      </c>
      <c r="B74" s="18" t="str">
        <f>DanhsachNguoiluutru!C76</f>
        <v>17/04/1988</v>
      </c>
      <c r="C74" s="18" t="str">
        <f>INDEX(GioiTinh!$A:$A,MATCH(DanhsachNguoiluutru!D76,GioiTinh!$B:$B,0))</f>
        <v>3</v>
      </c>
      <c r="D74" s="18" t="str">
        <f>DanhsachNguoiluutru!D76</f>
        <v>Giới tính Nữ</v>
      </c>
      <c r="E74" s="18" t="str">
        <f>DanhsachNguoiluutru!E76</f>
        <v>019188175344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str">
        <f>INDEX(NgheNghiep!$A:$A,MATCH(DanhsachNguoiluutru!I76,NgheNghiep!$B:$B,0))</f>
        <v>TUDO</v>
      </c>
      <c r="J74" s="18" t="str">
        <f>DanhsachNguoiluutru!I76</f>
        <v>Tự do</v>
      </c>
      <c r="K74" s="18" t="str">
        <f>DanhsachNguoiluutru!J76</f>
        <v>Tân Khánh</v>
      </c>
      <c r="L74" s="18" t="str">
        <f>INDEX(DanToc!$A:$A,MATCH(DanhsachNguoiluutru!K76,DanToc!$B:$B,0))</f>
        <v>01</v>
      </c>
      <c r="M74" s="18" t="str">
        <f>DanhsachNguoiluutru!K76</f>
        <v>Kinh</v>
      </c>
      <c r="N74" s="18" t="str">
        <f>INDEX(QuocTich!$A:$A,MATCH(DanhsachNguoiluutru!L76,QuocTich!$B:$B,0))</f>
        <v>VN</v>
      </c>
      <c r="O74" s="18" t="str">
        <f>DanhsachNguoiluutru!L76</f>
        <v>Việt Nam</v>
      </c>
      <c r="P74" s="18" t="str">
        <f>INDEX(QuocGia!$A:$A,MATCH(DanhsachNguoiluutru!M76,QuocGia!$B:$B,0))</f>
        <v>VN</v>
      </c>
      <c r="Q74" s="18" t="str">
        <f>DanhsachNguoiluutru!M76</f>
        <v>Cộng hòa xã hội chủ nghĩa Việt Nam</v>
      </c>
      <c r="R74" s="18" t="str">
        <f>INDEX(TinhThanh!$C:$C,MATCH(DanhsachNguoiluutru!N76,TinhThanh!$B:$B,0))</f>
        <v>36</v>
      </c>
      <c r="S74" s="18" t="str">
        <f ca="1">INDEX(OFFSET(QuanHuyen!$C$1,MATCH(extracted!$R74,QuanHuyen!$A:$A,0)-1,0,10000,1),MATCH(DanhsachNguoiluutru!$O76,OFFSET(QuanHuyen!$B$1,MATCH(extracted!$R74,QuanHuyen!$A:$A,0)-1,0,10000,1), 0))</f>
        <v>359</v>
      </c>
      <c r="T74" s="18" t="str">
        <f ca="1">INDEX(OFFSET(PhuongXa!$C$1,MATCH(extracted!$S74,PhuongXa!$A:$A,0)-1,0,10000,1),MATCH(DanhsachNguoiluutru!$P76,OFFSET(PhuongXa!$B$1,MATCH(extracted!$S74,PhuongXa!$A:$A,0)-1,0,10000,1), 0))</f>
        <v>13750</v>
      </c>
      <c r="U74" s="18" t="str">
        <f>DanhsachNguoiluutru!Q76</f>
        <v>Tân Khánh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>Tân Khánh, Xã Tân Khánh, Huyện Vụ Bản, Tỉnh Nam Định</v>
      </c>
      <c r="W74" s="18">
        <f>VLOOKUP(DanhsachNguoiluutru!$R76,DanhMuc!$A$2:$B$4,2,FALSE)</f>
        <v>1</v>
      </c>
      <c r="X74" s="18" t="str">
        <f>DanhsachNguoiluutru!R76</f>
        <v>Tạm trú</v>
      </c>
      <c r="Y74" s="18" t="str">
        <f>DanhsachNguoiluutru!S76</f>
        <v>07/07/2023</v>
      </c>
      <c r="Z74" s="18" t="str">
        <f>DanhsachNguoiluutru!T76</f>
        <v>09/07/2023</v>
      </c>
      <c r="AA74" s="18" t="str">
        <f>DanhsachNguoiluutru!U76</f>
        <v>Du Lịch</v>
      </c>
      <c r="AB74" s="18">
        <f>DanhsachNguoiluutru!V76</f>
        <v>405</v>
      </c>
    </row>
    <row r="75" spans="1:28" x14ac:dyDescent="0.3">
      <c r="A75" s="18" t="str">
        <f>DanhsachNguoiluutru!B77</f>
        <v>Trương Huy Thủy</v>
      </c>
      <c r="B75" s="18" t="str">
        <f>DanhsachNguoiluutru!C77</f>
        <v>02/06/1993</v>
      </c>
      <c r="C75" s="18" t="str">
        <f>INDEX(GioiTinh!$A:$A,MATCH(DanhsachNguoiluutru!D77,GioiTinh!$B:$B,0))</f>
        <v>2</v>
      </c>
      <c r="D75" s="18" t="str">
        <f>DanhsachNguoiluutru!D77</f>
        <v>Giới tính Nam</v>
      </c>
      <c r="E75" s="18" t="str">
        <f>DanhsachNguoiluutru!E77</f>
        <v>019093618776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str">
        <f>INDEX(NgheNghiep!$A:$A,MATCH(DanhsachNguoiluutru!I77,NgheNghiep!$B:$B,0))</f>
        <v>TUDO</v>
      </c>
      <c r="J75" s="18" t="str">
        <f>DanhsachNguoiluutru!I77</f>
        <v>Tự do</v>
      </c>
      <c r="K75" s="18" t="str">
        <f>DanhsachNguoiluutru!J77</f>
        <v>Tân Khánh</v>
      </c>
      <c r="L75" s="18" t="str">
        <f>INDEX(DanToc!$A:$A,MATCH(DanhsachNguoiluutru!K77,DanToc!$B:$B,0))</f>
        <v>01</v>
      </c>
      <c r="M75" s="18" t="str">
        <f>DanhsachNguoiluutru!K77</f>
        <v>Kinh</v>
      </c>
      <c r="N75" s="18" t="str">
        <f>INDEX(QuocTich!$A:$A,MATCH(DanhsachNguoiluutru!L77,QuocTich!$B:$B,0))</f>
        <v>VN</v>
      </c>
      <c r="O75" s="18" t="str">
        <f>DanhsachNguoiluutru!L77</f>
        <v>Việt Nam</v>
      </c>
      <c r="P75" s="18" t="str">
        <f>INDEX(QuocGia!$A:$A,MATCH(DanhsachNguoiluutru!M77,QuocGia!$B:$B,0))</f>
        <v>VN</v>
      </c>
      <c r="Q75" s="18" t="str">
        <f>DanhsachNguoiluutru!M77</f>
        <v>Cộng hòa xã hội chủ nghĩa Việt Nam</v>
      </c>
      <c r="R75" s="18" t="str">
        <f>INDEX(TinhThanh!$C:$C,MATCH(DanhsachNguoiluutru!N77,TinhThanh!$B:$B,0))</f>
        <v>36</v>
      </c>
      <c r="S75" s="18" t="str">
        <f ca="1">INDEX(OFFSET(QuanHuyen!$C$1,MATCH(extracted!$R75,QuanHuyen!$A:$A,0)-1,0,10000,1),MATCH(DanhsachNguoiluutru!$O77,OFFSET(QuanHuyen!$B$1,MATCH(extracted!$R75,QuanHuyen!$A:$A,0)-1,0,10000,1), 0))</f>
        <v>359</v>
      </c>
      <c r="T75" s="18" t="str">
        <f ca="1">INDEX(OFFSET(PhuongXa!$C$1,MATCH(extracted!$S75,PhuongXa!$A:$A,0)-1,0,10000,1),MATCH(DanhsachNguoiluutru!$P77,OFFSET(PhuongXa!$B$1,MATCH(extracted!$S75,PhuongXa!$A:$A,0)-1,0,10000,1), 0))</f>
        <v>13750</v>
      </c>
      <c r="U75" s="18" t="str">
        <f>DanhsachNguoiluutru!Q77</f>
        <v>Tân Khánh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>Tân Khánh, Xã Tân Khánh, Huyện Vụ Bản, Tỉnh Nam Định</v>
      </c>
      <c r="W75" s="18">
        <f>VLOOKUP(DanhsachNguoiluutru!$R77,DanhMuc!$A$2:$B$4,2,FALSE)</f>
        <v>1</v>
      </c>
      <c r="X75" s="18" t="str">
        <f>DanhsachNguoiluutru!R77</f>
        <v>Tạm trú</v>
      </c>
      <c r="Y75" s="18" t="str">
        <f>DanhsachNguoiluutru!S77</f>
        <v>07/07/2023</v>
      </c>
      <c r="Z75" s="18" t="str">
        <f>DanhsachNguoiluutru!T77</f>
        <v>09/07/2023</v>
      </c>
      <c r="AA75" s="18" t="str">
        <f>DanhsachNguoiluutru!U77</f>
        <v>Du Lịch</v>
      </c>
      <c r="AB75" s="18">
        <f>DanhsachNguoiluutru!V77</f>
        <v>405</v>
      </c>
    </row>
    <row r="76" spans="1:28" x14ac:dyDescent="0.3">
      <c r="A76" s="18" t="str">
        <f>DanhsachNguoiluutru!B78</f>
        <v>Bùi Long Hiếu</v>
      </c>
      <c r="B76" s="18" t="str">
        <f>DanhsachNguoiluutru!C78</f>
        <v>03/03/1991</v>
      </c>
      <c r="C76" s="18" t="str">
        <f>INDEX(GioiTinh!$A:$A,MATCH(DanhsachNguoiluutru!D78,GioiTinh!$B:$B,0))</f>
        <v>2</v>
      </c>
      <c r="D76" s="18" t="str">
        <f>DanhsachNguoiluutru!D78</f>
        <v>Giới tính Nam</v>
      </c>
      <c r="E76" s="18" t="str">
        <f>DanhsachNguoiluutru!E78</f>
        <v>019091147328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str">
        <f>INDEX(NgheNghiep!$A:$A,MATCH(DanhsachNguoiluutru!I78,NgheNghiep!$B:$B,0))</f>
        <v>TUDO</v>
      </c>
      <c r="J76" s="18" t="str">
        <f>DanhsachNguoiluutru!I78</f>
        <v>Tự do</v>
      </c>
      <c r="K76" s="18" t="str">
        <f>DanhsachNguoiluutru!J78</f>
        <v>Tân Khánh</v>
      </c>
      <c r="L76" s="18" t="str">
        <f>INDEX(DanToc!$A:$A,MATCH(DanhsachNguoiluutru!K78,DanToc!$B:$B,0))</f>
        <v>01</v>
      </c>
      <c r="M76" s="18" t="str">
        <f>DanhsachNguoiluutru!K78</f>
        <v>Kinh</v>
      </c>
      <c r="N76" s="18" t="str">
        <f>INDEX(QuocTich!$A:$A,MATCH(DanhsachNguoiluutru!L78,QuocTich!$B:$B,0))</f>
        <v>VN</v>
      </c>
      <c r="O76" s="18" t="str">
        <f>DanhsachNguoiluutru!L78</f>
        <v>Việt Nam</v>
      </c>
      <c r="P76" s="18" t="str">
        <f>INDEX(QuocGia!$A:$A,MATCH(DanhsachNguoiluutru!M78,QuocGia!$B:$B,0))</f>
        <v>VN</v>
      </c>
      <c r="Q76" s="18" t="str">
        <f>DanhsachNguoiluutru!M78</f>
        <v>Cộng hòa xã hội chủ nghĩa Việt Nam</v>
      </c>
      <c r="R76" s="18" t="str">
        <f>INDEX(TinhThanh!$C:$C,MATCH(DanhsachNguoiluutru!N78,TinhThanh!$B:$B,0))</f>
        <v>36</v>
      </c>
      <c r="S76" s="18" t="str">
        <f ca="1">INDEX(OFFSET(QuanHuyen!$C$1,MATCH(extracted!$R76,QuanHuyen!$A:$A,0)-1,0,10000,1),MATCH(DanhsachNguoiluutru!$O78,OFFSET(QuanHuyen!$B$1,MATCH(extracted!$R76,QuanHuyen!$A:$A,0)-1,0,10000,1), 0))</f>
        <v>359</v>
      </c>
      <c r="T76" s="18" t="str">
        <f ca="1">INDEX(OFFSET(PhuongXa!$C$1,MATCH(extracted!$S76,PhuongXa!$A:$A,0)-1,0,10000,1),MATCH(DanhsachNguoiluutru!$P78,OFFSET(PhuongXa!$B$1,MATCH(extracted!$S76,PhuongXa!$A:$A,0)-1,0,10000,1), 0))</f>
        <v>13750</v>
      </c>
      <c r="U76" s="18" t="str">
        <f>DanhsachNguoiluutru!Q78</f>
        <v>Tân Khánh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>Tân Khánh, Xã Tân Khánh, Huyện Vụ Bản, Tỉnh Nam Định</v>
      </c>
      <c r="W76" s="18">
        <f>VLOOKUP(DanhsachNguoiluutru!$R78,DanhMuc!$A$2:$B$4,2,FALSE)</f>
        <v>1</v>
      </c>
      <c r="X76" s="18" t="str">
        <f>DanhsachNguoiluutru!R78</f>
        <v>Tạm trú</v>
      </c>
      <c r="Y76" s="18" t="str">
        <f>DanhsachNguoiluutru!S78</f>
        <v>07/07/2023</v>
      </c>
      <c r="Z76" s="18" t="str">
        <f>DanhsachNguoiluutru!T78</f>
        <v>09/07/2023</v>
      </c>
      <c r="AA76" s="18" t="str">
        <f>DanhsachNguoiluutru!U78</f>
        <v>Du Lịch</v>
      </c>
      <c r="AB76" s="18">
        <f>DanhsachNguoiluutru!V78</f>
        <v>405</v>
      </c>
    </row>
    <row r="77" spans="1:28" x14ac:dyDescent="0.3">
      <c r="A77" s="18" t="str">
        <f>DanhsachNguoiluutru!B79</f>
        <v>Trương Minh Bình</v>
      </c>
      <c r="B77" s="18" t="str">
        <f>DanhsachNguoiluutru!C79</f>
        <v>02/11/1986</v>
      </c>
      <c r="C77" s="18" t="str">
        <f>INDEX(GioiTinh!$A:$A,MATCH(DanhsachNguoiluutru!D79,GioiTinh!$B:$B,0))</f>
        <v>2</v>
      </c>
      <c r="D77" s="18" t="str">
        <f>DanhsachNguoiluutru!D79</f>
        <v>Giới tính Nam</v>
      </c>
      <c r="E77" s="18" t="str">
        <f>DanhsachNguoiluutru!E79</f>
        <v>019086937325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str">
        <f>INDEX(NgheNghiep!$A:$A,MATCH(DanhsachNguoiluutru!I79,NgheNghiep!$B:$B,0))</f>
        <v>TUDO</v>
      </c>
      <c r="J77" s="18" t="str">
        <f>DanhsachNguoiluutru!I79</f>
        <v>Tự do</v>
      </c>
      <c r="K77" s="18" t="str">
        <f>DanhsachNguoiluutru!J79</f>
        <v>Tân Khánh</v>
      </c>
      <c r="L77" s="18" t="str">
        <f>INDEX(DanToc!$A:$A,MATCH(DanhsachNguoiluutru!K79,DanToc!$B:$B,0))</f>
        <v>01</v>
      </c>
      <c r="M77" s="18" t="str">
        <f>DanhsachNguoiluutru!K79</f>
        <v>Kinh</v>
      </c>
      <c r="N77" s="18" t="str">
        <f>INDEX(QuocTich!$A:$A,MATCH(DanhsachNguoiluutru!L79,QuocTich!$B:$B,0))</f>
        <v>VN</v>
      </c>
      <c r="O77" s="18" t="str">
        <f>DanhsachNguoiluutru!L79</f>
        <v>Việt Nam</v>
      </c>
      <c r="P77" s="18" t="str">
        <f>INDEX(QuocGia!$A:$A,MATCH(DanhsachNguoiluutru!M79,QuocGia!$B:$B,0))</f>
        <v>VN</v>
      </c>
      <c r="Q77" s="18" t="str">
        <f>DanhsachNguoiluutru!M79</f>
        <v>Cộng hòa xã hội chủ nghĩa Việt Nam</v>
      </c>
      <c r="R77" s="18" t="str">
        <f>INDEX(TinhThanh!$C:$C,MATCH(DanhsachNguoiluutru!N79,TinhThanh!$B:$B,0))</f>
        <v>36</v>
      </c>
      <c r="S77" s="18" t="str">
        <f ca="1">INDEX(OFFSET(QuanHuyen!$C$1,MATCH(extracted!$R77,QuanHuyen!$A:$A,0)-1,0,10000,1),MATCH(DanhsachNguoiluutru!$O79,OFFSET(QuanHuyen!$B$1,MATCH(extracted!$R77,QuanHuyen!$A:$A,0)-1,0,10000,1), 0))</f>
        <v>359</v>
      </c>
      <c r="T77" s="18" t="str">
        <f ca="1">INDEX(OFFSET(PhuongXa!$C$1,MATCH(extracted!$S77,PhuongXa!$A:$A,0)-1,0,10000,1),MATCH(DanhsachNguoiluutru!$P79,OFFSET(PhuongXa!$B$1,MATCH(extracted!$S77,PhuongXa!$A:$A,0)-1,0,10000,1), 0))</f>
        <v>13750</v>
      </c>
      <c r="U77" s="18" t="str">
        <f>DanhsachNguoiluutru!Q79</f>
        <v>Tân Khánh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>Tân Khánh, Xã Tân Khánh, Huyện Vụ Bản, Tỉnh Nam Định</v>
      </c>
      <c r="W77" s="18">
        <f>VLOOKUP(DanhsachNguoiluutru!$R79,DanhMuc!$A$2:$B$4,2,FALSE)</f>
        <v>1</v>
      </c>
      <c r="X77" s="18" t="str">
        <f>DanhsachNguoiluutru!R79</f>
        <v>Tạm trú</v>
      </c>
      <c r="Y77" s="18" t="str">
        <f>DanhsachNguoiluutru!S79</f>
        <v>07/07/2023</v>
      </c>
      <c r="Z77" s="18" t="str">
        <f>DanhsachNguoiluutru!T79</f>
        <v>09/07/2023</v>
      </c>
      <c r="AA77" s="18" t="str">
        <f>DanhsachNguoiluutru!U79</f>
        <v>Du Lịch</v>
      </c>
      <c r="AB77" s="18">
        <f>DanhsachNguoiluutru!V79</f>
        <v>406</v>
      </c>
    </row>
    <row r="78" spans="1:28" x14ac:dyDescent="0.3">
      <c r="A78" s="18" t="str">
        <f>DanhsachNguoiluutru!B80</f>
        <v>Đặng Thị Ngọc</v>
      </c>
      <c r="B78" s="18" t="str">
        <f>DanhsachNguoiluutru!C80</f>
        <v>21/02/1991</v>
      </c>
      <c r="C78" s="18" t="str">
        <f>INDEX(GioiTinh!$A:$A,MATCH(DanhsachNguoiluutru!D80,GioiTinh!$B:$B,0))</f>
        <v>3</v>
      </c>
      <c r="D78" s="18" t="str">
        <f>DanhsachNguoiluutru!D80</f>
        <v>Giới tính Nữ</v>
      </c>
      <c r="E78" s="18" t="str">
        <f>DanhsachNguoiluutru!E80</f>
        <v>019191376879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str">
        <f>INDEX(NgheNghiep!$A:$A,MATCH(DanhsachNguoiluutru!I80,NgheNghiep!$B:$B,0))</f>
        <v>TUDO</v>
      </c>
      <c r="J78" s="18" t="str">
        <f>DanhsachNguoiluutru!I80</f>
        <v>Tự do</v>
      </c>
      <c r="K78" s="18" t="str">
        <f>DanhsachNguoiluutru!J80</f>
        <v>Tân Khánh</v>
      </c>
      <c r="L78" s="18" t="str">
        <f>INDEX(DanToc!$A:$A,MATCH(DanhsachNguoiluutru!K80,DanToc!$B:$B,0))</f>
        <v>01</v>
      </c>
      <c r="M78" s="18" t="str">
        <f>DanhsachNguoiluutru!K80</f>
        <v>Kinh</v>
      </c>
      <c r="N78" s="18" t="str">
        <f>INDEX(QuocTich!$A:$A,MATCH(DanhsachNguoiluutru!L80,QuocTich!$B:$B,0))</f>
        <v>VN</v>
      </c>
      <c r="O78" s="18" t="str">
        <f>DanhsachNguoiluutru!L80</f>
        <v>Việt Nam</v>
      </c>
      <c r="P78" s="18" t="str">
        <f>INDEX(QuocGia!$A:$A,MATCH(DanhsachNguoiluutru!M80,QuocGia!$B:$B,0))</f>
        <v>VN</v>
      </c>
      <c r="Q78" s="18" t="str">
        <f>DanhsachNguoiluutru!M80</f>
        <v>Cộng hòa xã hội chủ nghĩa Việt Nam</v>
      </c>
      <c r="R78" s="18" t="str">
        <f>INDEX(TinhThanh!$C:$C,MATCH(DanhsachNguoiluutru!N80,TinhThanh!$B:$B,0))</f>
        <v>36</v>
      </c>
      <c r="S78" s="18" t="str">
        <f ca="1">INDEX(OFFSET(QuanHuyen!$C$1,MATCH(extracted!$R78,QuanHuyen!$A:$A,0)-1,0,10000,1),MATCH(DanhsachNguoiluutru!$O80,OFFSET(QuanHuyen!$B$1,MATCH(extracted!$R78,QuanHuyen!$A:$A,0)-1,0,10000,1), 0))</f>
        <v>359</v>
      </c>
      <c r="T78" s="18" t="str">
        <f ca="1">INDEX(OFFSET(PhuongXa!$C$1,MATCH(extracted!$S78,PhuongXa!$A:$A,0)-1,0,10000,1),MATCH(DanhsachNguoiluutru!$P80,OFFSET(PhuongXa!$B$1,MATCH(extracted!$S78,PhuongXa!$A:$A,0)-1,0,10000,1), 0))</f>
        <v>13750</v>
      </c>
      <c r="U78" s="18" t="str">
        <f>DanhsachNguoiluutru!Q80</f>
        <v>Tân Khánh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>Tân Khánh, Xã Tân Khánh, Huyện Vụ Bản, Tỉnh Nam Định</v>
      </c>
      <c r="W78" s="18">
        <f>VLOOKUP(DanhsachNguoiluutru!$R80,DanhMuc!$A$2:$B$4,2,FALSE)</f>
        <v>1</v>
      </c>
      <c r="X78" s="18" t="str">
        <f>DanhsachNguoiluutru!R80</f>
        <v>Tạm trú</v>
      </c>
      <c r="Y78" s="18" t="str">
        <f>DanhsachNguoiluutru!S80</f>
        <v>07/07/2023</v>
      </c>
      <c r="Z78" s="18" t="str">
        <f>DanhsachNguoiluutru!T80</f>
        <v>09/07/2023</v>
      </c>
      <c r="AA78" s="18" t="str">
        <f>DanhsachNguoiluutru!U80</f>
        <v>Du Lịch</v>
      </c>
      <c r="AB78" s="18">
        <f>DanhsachNguoiluutru!V80</f>
        <v>406</v>
      </c>
    </row>
    <row r="79" spans="1:28" x14ac:dyDescent="0.3">
      <c r="A79" s="18" t="str">
        <f>DanhsachNguoiluutru!B81</f>
        <v>Ngô Thành Dũng</v>
      </c>
      <c r="B79" s="18" t="str">
        <f>DanhsachNguoiluutru!C81</f>
        <v>15/12/1979</v>
      </c>
      <c r="C79" s="18" t="str">
        <f>INDEX(GioiTinh!$A:$A,MATCH(DanhsachNguoiluutru!D81,GioiTinh!$B:$B,0))</f>
        <v>2</v>
      </c>
      <c r="D79" s="18" t="str">
        <f>DanhsachNguoiluutru!D81</f>
        <v>Giới tính Nam</v>
      </c>
      <c r="E79" s="18" t="str">
        <f>DanhsachNguoiluutru!E81</f>
        <v>019079013428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str">
        <f>INDEX(NgheNghiep!$A:$A,MATCH(DanhsachNguoiluutru!I81,NgheNghiep!$B:$B,0))</f>
        <v>TUDO</v>
      </c>
      <c r="J79" s="18" t="str">
        <f>DanhsachNguoiluutru!I81</f>
        <v>Tự do</v>
      </c>
      <c r="K79" s="18" t="str">
        <f>DanhsachNguoiluutru!J81</f>
        <v>Tân Khánh</v>
      </c>
      <c r="L79" s="18" t="str">
        <f>INDEX(DanToc!$A:$A,MATCH(DanhsachNguoiluutru!K81,DanToc!$B:$B,0))</f>
        <v>01</v>
      </c>
      <c r="M79" s="18" t="str">
        <f>DanhsachNguoiluutru!K81</f>
        <v>Kinh</v>
      </c>
      <c r="N79" s="18" t="str">
        <f>INDEX(QuocTich!$A:$A,MATCH(DanhsachNguoiluutru!L81,QuocTich!$B:$B,0))</f>
        <v>VN</v>
      </c>
      <c r="O79" s="18" t="str">
        <f>DanhsachNguoiluutru!L81</f>
        <v>Việt Nam</v>
      </c>
      <c r="P79" s="18" t="str">
        <f>INDEX(QuocGia!$A:$A,MATCH(DanhsachNguoiluutru!M81,QuocGia!$B:$B,0))</f>
        <v>VN</v>
      </c>
      <c r="Q79" s="18" t="str">
        <f>DanhsachNguoiluutru!M81</f>
        <v>Cộng hòa xã hội chủ nghĩa Việt Nam</v>
      </c>
      <c r="R79" s="18" t="str">
        <f>INDEX(TinhThanh!$C:$C,MATCH(DanhsachNguoiluutru!N81,TinhThanh!$B:$B,0))</f>
        <v>36</v>
      </c>
      <c r="S79" s="18" t="str">
        <f ca="1">INDEX(OFFSET(QuanHuyen!$C$1,MATCH(extracted!$R79,QuanHuyen!$A:$A,0)-1,0,10000,1),MATCH(DanhsachNguoiluutru!$O81,OFFSET(QuanHuyen!$B$1,MATCH(extracted!$R79,QuanHuyen!$A:$A,0)-1,0,10000,1), 0))</f>
        <v>359</v>
      </c>
      <c r="T79" s="18" t="str">
        <f ca="1">INDEX(OFFSET(PhuongXa!$C$1,MATCH(extracted!$S79,PhuongXa!$A:$A,0)-1,0,10000,1),MATCH(DanhsachNguoiluutru!$P81,OFFSET(PhuongXa!$B$1,MATCH(extracted!$S79,PhuongXa!$A:$A,0)-1,0,10000,1), 0))</f>
        <v>13750</v>
      </c>
      <c r="U79" s="18" t="str">
        <f>DanhsachNguoiluutru!Q81</f>
        <v>Tân Khánh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>Tân Khánh, Xã Tân Khánh, Huyện Vụ Bản, Tỉnh Nam Định</v>
      </c>
      <c r="W79" s="18">
        <f>VLOOKUP(DanhsachNguoiluutru!$R81,DanhMuc!$A$2:$B$4,2,FALSE)</f>
        <v>1</v>
      </c>
      <c r="X79" s="18" t="str">
        <f>DanhsachNguoiluutru!R81</f>
        <v>Tạm trú</v>
      </c>
      <c r="Y79" s="18" t="str">
        <f>DanhsachNguoiluutru!S81</f>
        <v>07/07/2023</v>
      </c>
      <c r="Z79" s="18" t="str">
        <f>DanhsachNguoiluutru!T81</f>
        <v>09/07/2023</v>
      </c>
      <c r="AA79" s="18" t="str">
        <f>DanhsachNguoiluutru!U81</f>
        <v>Du Lịch</v>
      </c>
      <c r="AB79" s="18">
        <f>DanhsachNguoiluutru!V81</f>
        <v>406</v>
      </c>
    </row>
    <row r="80" spans="1:28" x14ac:dyDescent="0.3">
      <c r="A80" s="18" t="str">
        <f>DanhsachNguoiluutru!B82</f>
        <v>Vương Phương Trang</v>
      </c>
      <c r="B80" s="18" t="str">
        <f>DanhsachNguoiluutru!C82</f>
        <v>13/05/1994</v>
      </c>
      <c r="C80" s="18" t="str">
        <f>INDEX(GioiTinh!$A:$A,MATCH(DanhsachNguoiluutru!D82,GioiTinh!$B:$B,0))</f>
        <v>3</v>
      </c>
      <c r="D80" s="18" t="str">
        <f>DanhsachNguoiluutru!D82</f>
        <v>Giới tính Nữ</v>
      </c>
      <c r="E80" s="18" t="str">
        <f>DanhsachNguoiluutru!E82</f>
        <v>019194926107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str">
        <f>INDEX(NgheNghiep!$A:$A,MATCH(DanhsachNguoiluutru!I82,NgheNghiep!$B:$B,0))</f>
        <v>TUDO</v>
      </c>
      <c r="J80" s="18" t="str">
        <f>DanhsachNguoiluutru!I82</f>
        <v>Tự do</v>
      </c>
      <c r="K80" s="18" t="str">
        <f>DanhsachNguoiluutru!J82</f>
        <v>Tân Khánh</v>
      </c>
      <c r="L80" s="18" t="str">
        <f>INDEX(DanToc!$A:$A,MATCH(DanhsachNguoiluutru!K82,DanToc!$B:$B,0))</f>
        <v>01</v>
      </c>
      <c r="M80" s="18" t="str">
        <f>DanhsachNguoiluutru!K82</f>
        <v>Kinh</v>
      </c>
      <c r="N80" s="18" t="str">
        <f>INDEX(QuocTich!$A:$A,MATCH(DanhsachNguoiluutru!L82,QuocTich!$B:$B,0))</f>
        <v>VN</v>
      </c>
      <c r="O80" s="18" t="str">
        <f>DanhsachNguoiluutru!L82</f>
        <v>Việt Nam</v>
      </c>
      <c r="P80" s="18" t="str">
        <f>INDEX(QuocGia!$A:$A,MATCH(DanhsachNguoiluutru!M82,QuocGia!$B:$B,0))</f>
        <v>VN</v>
      </c>
      <c r="Q80" s="18" t="str">
        <f>DanhsachNguoiluutru!M82</f>
        <v>Cộng hòa xã hội chủ nghĩa Việt Nam</v>
      </c>
      <c r="R80" s="18" t="str">
        <f>INDEX(TinhThanh!$C:$C,MATCH(DanhsachNguoiluutru!N82,TinhThanh!$B:$B,0))</f>
        <v>36</v>
      </c>
      <c r="S80" s="18" t="str">
        <f ca="1">INDEX(OFFSET(QuanHuyen!$C$1,MATCH(extracted!$R80,QuanHuyen!$A:$A,0)-1,0,10000,1),MATCH(DanhsachNguoiluutru!$O82,OFFSET(QuanHuyen!$B$1,MATCH(extracted!$R80,QuanHuyen!$A:$A,0)-1,0,10000,1), 0))</f>
        <v>359</v>
      </c>
      <c r="T80" s="18" t="str">
        <f ca="1">INDEX(OFFSET(PhuongXa!$C$1,MATCH(extracted!$S80,PhuongXa!$A:$A,0)-1,0,10000,1),MATCH(DanhsachNguoiluutru!$P82,OFFSET(PhuongXa!$B$1,MATCH(extracted!$S80,PhuongXa!$A:$A,0)-1,0,10000,1), 0))</f>
        <v>13750</v>
      </c>
      <c r="U80" s="18" t="str">
        <f>DanhsachNguoiluutru!Q82</f>
        <v>Tân Khánh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>Tân Khánh, Xã Tân Khánh, Huyện Vụ Bản, Tỉnh Nam Định</v>
      </c>
      <c r="W80" s="18">
        <f>VLOOKUP(DanhsachNguoiluutru!$R82,DanhMuc!$A$2:$B$4,2,FALSE)</f>
        <v>1</v>
      </c>
      <c r="X80" s="18" t="str">
        <f>DanhsachNguoiluutru!R82</f>
        <v>Tạm trú</v>
      </c>
      <c r="Y80" s="18" t="str">
        <f>DanhsachNguoiluutru!S82</f>
        <v>07/07/2023</v>
      </c>
      <c r="Z80" s="18" t="str">
        <f>DanhsachNguoiluutru!T82</f>
        <v>09/07/2023</v>
      </c>
      <c r="AA80" s="18" t="str">
        <f>DanhsachNguoiluutru!U82</f>
        <v>Du Lịch</v>
      </c>
      <c r="AB80" s="18">
        <f>DanhsachNguoiluutru!V82</f>
        <v>406</v>
      </c>
    </row>
    <row r="81" spans="1:28" x14ac:dyDescent="0.3">
      <c r="A81" s="18" t="str">
        <f>DanhsachNguoiluutru!B83</f>
        <v>Hà Thảo Hạnh</v>
      </c>
      <c r="B81" s="18" t="str">
        <f>DanhsachNguoiluutru!C83</f>
        <v>27/02/1979</v>
      </c>
      <c r="C81" s="18" t="str">
        <f>INDEX(GioiTinh!$A:$A,MATCH(DanhsachNguoiluutru!D83,GioiTinh!$B:$B,0))</f>
        <v>3</v>
      </c>
      <c r="D81" s="18" t="str">
        <f>DanhsachNguoiluutru!D83</f>
        <v>Giới tính Nữ</v>
      </c>
      <c r="E81" s="18" t="str">
        <f>DanhsachNguoiluutru!E83</f>
        <v>019179951471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str">
        <f>INDEX(NgheNghiep!$A:$A,MATCH(DanhsachNguoiluutru!I83,NgheNghiep!$B:$B,0))</f>
        <v>TUDO</v>
      </c>
      <c r="J81" s="18" t="str">
        <f>DanhsachNguoiluutru!I83</f>
        <v>Tự do</v>
      </c>
      <c r="K81" s="18" t="str">
        <f>DanhsachNguoiluutru!J83</f>
        <v>Tân Khánh</v>
      </c>
      <c r="L81" s="18" t="str">
        <f>INDEX(DanToc!$A:$A,MATCH(DanhsachNguoiluutru!K83,DanToc!$B:$B,0))</f>
        <v>01</v>
      </c>
      <c r="M81" s="18" t="str">
        <f>DanhsachNguoiluutru!K83</f>
        <v>Kinh</v>
      </c>
      <c r="N81" s="18" t="str">
        <f>INDEX(QuocTich!$A:$A,MATCH(DanhsachNguoiluutru!L83,QuocTich!$B:$B,0))</f>
        <v>VN</v>
      </c>
      <c r="O81" s="18" t="str">
        <f>DanhsachNguoiluutru!L83</f>
        <v>Việt Nam</v>
      </c>
      <c r="P81" s="18" t="str">
        <f>INDEX(QuocGia!$A:$A,MATCH(DanhsachNguoiluutru!M83,QuocGia!$B:$B,0))</f>
        <v>VN</v>
      </c>
      <c r="Q81" s="18" t="str">
        <f>DanhsachNguoiluutru!M83</f>
        <v>Cộng hòa xã hội chủ nghĩa Việt Nam</v>
      </c>
      <c r="R81" s="18" t="str">
        <f>INDEX(TinhThanh!$C:$C,MATCH(DanhsachNguoiluutru!N83,TinhThanh!$B:$B,0))</f>
        <v>36</v>
      </c>
      <c r="S81" s="18" t="str">
        <f ca="1">INDEX(OFFSET(QuanHuyen!$C$1,MATCH(extracted!$R81,QuanHuyen!$A:$A,0)-1,0,10000,1),MATCH(DanhsachNguoiluutru!$O83,OFFSET(QuanHuyen!$B$1,MATCH(extracted!$R81,QuanHuyen!$A:$A,0)-1,0,10000,1), 0))</f>
        <v>359</v>
      </c>
      <c r="T81" s="18" t="str">
        <f ca="1">INDEX(OFFSET(PhuongXa!$C$1,MATCH(extracted!$S81,PhuongXa!$A:$A,0)-1,0,10000,1),MATCH(DanhsachNguoiluutru!$P83,OFFSET(PhuongXa!$B$1,MATCH(extracted!$S81,PhuongXa!$A:$A,0)-1,0,10000,1), 0))</f>
        <v>13750</v>
      </c>
      <c r="U81" s="18" t="str">
        <f>DanhsachNguoiluutru!Q83</f>
        <v>Tân Khánh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>Tân Khánh, Xã Tân Khánh, Huyện Vụ Bản, Tỉnh Nam Định</v>
      </c>
      <c r="W81" s="18">
        <f>VLOOKUP(DanhsachNguoiluutru!$R83,DanhMuc!$A$2:$B$4,2,FALSE)</f>
        <v>1</v>
      </c>
      <c r="X81" s="18" t="str">
        <f>DanhsachNguoiluutru!R83</f>
        <v>Tạm trú</v>
      </c>
      <c r="Y81" s="18" t="str">
        <f>DanhsachNguoiluutru!S83</f>
        <v>07/07/2023</v>
      </c>
      <c r="Z81" s="18" t="str">
        <f>DanhsachNguoiluutru!T83</f>
        <v>09/07/2023</v>
      </c>
      <c r="AA81" s="18" t="str">
        <f>DanhsachNguoiluutru!U83</f>
        <v>Du Lịch</v>
      </c>
      <c r="AB81" s="18">
        <f>DanhsachNguoiluutru!V83</f>
        <v>407</v>
      </c>
    </row>
    <row r="82" spans="1:28" x14ac:dyDescent="0.3">
      <c r="A82" s="18" t="str">
        <f>DanhsachNguoiluutru!B84</f>
        <v>Trịnh Phương Mai</v>
      </c>
      <c r="B82" s="18" t="str">
        <f>DanhsachNguoiluutru!C84</f>
        <v>07/12/1981</v>
      </c>
      <c r="C82" s="18" t="str">
        <f>INDEX(GioiTinh!$A:$A,MATCH(DanhsachNguoiluutru!D84,GioiTinh!$B:$B,0))</f>
        <v>3</v>
      </c>
      <c r="D82" s="18" t="str">
        <f>DanhsachNguoiluutru!D84</f>
        <v>Giới tính Nữ</v>
      </c>
      <c r="E82" s="18" t="str">
        <f>DanhsachNguoiluutru!E84</f>
        <v>019181192770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str">
        <f>INDEX(NgheNghiep!$A:$A,MATCH(DanhsachNguoiluutru!I84,NgheNghiep!$B:$B,0))</f>
        <v>TUDO</v>
      </c>
      <c r="J82" s="18" t="str">
        <f>DanhsachNguoiluutru!I84</f>
        <v>Tự do</v>
      </c>
      <c r="K82" s="18" t="str">
        <f>DanhsachNguoiluutru!J84</f>
        <v>Tân Khánh</v>
      </c>
      <c r="L82" s="18" t="str">
        <f>INDEX(DanToc!$A:$A,MATCH(DanhsachNguoiluutru!K84,DanToc!$B:$B,0))</f>
        <v>01</v>
      </c>
      <c r="M82" s="18" t="str">
        <f>DanhsachNguoiluutru!K84</f>
        <v>Kinh</v>
      </c>
      <c r="N82" s="18" t="str">
        <f>INDEX(QuocTich!$A:$A,MATCH(DanhsachNguoiluutru!L84,QuocTich!$B:$B,0))</f>
        <v>VN</v>
      </c>
      <c r="O82" s="18" t="str">
        <f>DanhsachNguoiluutru!L84</f>
        <v>Việt Nam</v>
      </c>
      <c r="P82" s="18" t="str">
        <f>INDEX(QuocGia!$A:$A,MATCH(DanhsachNguoiluutru!M84,QuocGia!$B:$B,0))</f>
        <v>VN</v>
      </c>
      <c r="Q82" s="18" t="str">
        <f>DanhsachNguoiluutru!M84</f>
        <v>Cộng hòa xã hội chủ nghĩa Việt Nam</v>
      </c>
      <c r="R82" s="18" t="str">
        <f>INDEX(TinhThanh!$C:$C,MATCH(DanhsachNguoiluutru!N84,TinhThanh!$B:$B,0))</f>
        <v>36</v>
      </c>
      <c r="S82" s="18" t="str">
        <f ca="1">INDEX(OFFSET(QuanHuyen!$C$1,MATCH(extracted!$R82,QuanHuyen!$A:$A,0)-1,0,10000,1),MATCH(DanhsachNguoiluutru!$O84,OFFSET(QuanHuyen!$B$1,MATCH(extracted!$R82,QuanHuyen!$A:$A,0)-1,0,10000,1), 0))</f>
        <v>359</v>
      </c>
      <c r="T82" s="18" t="str">
        <f ca="1">INDEX(OFFSET(PhuongXa!$C$1,MATCH(extracted!$S82,PhuongXa!$A:$A,0)-1,0,10000,1),MATCH(DanhsachNguoiluutru!$P84,OFFSET(PhuongXa!$B$1,MATCH(extracted!$S82,PhuongXa!$A:$A,0)-1,0,10000,1), 0))</f>
        <v>13750</v>
      </c>
      <c r="U82" s="18" t="str">
        <f>DanhsachNguoiluutru!Q84</f>
        <v>Tân Khánh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>Tân Khánh, Xã Tân Khánh, Huyện Vụ Bản, Tỉnh Nam Định</v>
      </c>
      <c r="W82" s="18">
        <f>VLOOKUP(DanhsachNguoiluutru!$R84,DanhMuc!$A$2:$B$4,2,FALSE)</f>
        <v>1</v>
      </c>
      <c r="X82" s="18" t="str">
        <f>DanhsachNguoiluutru!R84</f>
        <v>Tạm trú</v>
      </c>
      <c r="Y82" s="18" t="str">
        <f>DanhsachNguoiluutru!S84</f>
        <v>07/07/2023</v>
      </c>
      <c r="Z82" s="18" t="str">
        <f>DanhsachNguoiluutru!T84</f>
        <v>09/07/2023</v>
      </c>
      <c r="AA82" s="18" t="str">
        <f>DanhsachNguoiluutru!U84</f>
        <v>Du Lịch</v>
      </c>
      <c r="AB82" s="18">
        <f>DanhsachNguoiluutru!V84</f>
        <v>407</v>
      </c>
    </row>
    <row r="83" spans="1:28" x14ac:dyDescent="0.3">
      <c r="A83" s="18" t="str">
        <f>DanhsachNguoiluutru!B85</f>
        <v>Thái Phước Thủy</v>
      </c>
      <c r="B83" s="18" t="str">
        <f>DanhsachNguoiluutru!C85</f>
        <v>20/03/1980</v>
      </c>
      <c r="C83" s="18" t="str">
        <f>INDEX(GioiTinh!$A:$A,MATCH(DanhsachNguoiluutru!D85,GioiTinh!$B:$B,0))</f>
        <v>2</v>
      </c>
      <c r="D83" s="18" t="str">
        <f>DanhsachNguoiluutru!D85</f>
        <v>Giới tính Nam</v>
      </c>
      <c r="E83" s="18" t="str">
        <f>DanhsachNguoiluutru!E85</f>
        <v>019080593135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str">
        <f>INDEX(NgheNghiep!$A:$A,MATCH(DanhsachNguoiluutru!I85,NgheNghiep!$B:$B,0))</f>
        <v>TUDO</v>
      </c>
      <c r="J83" s="18" t="str">
        <f>DanhsachNguoiluutru!I85</f>
        <v>Tự do</v>
      </c>
      <c r="K83" s="18" t="str">
        <f>DanhsachNguoiluutru!J85</f>
        <v>Tân Khánh</v>
      </c>
      <c r="L83" s="18" t="str">
        <f>INDEX(DanToc!$A:$A,MATCH(DanhsachNguoiluutru!K85,DanToc!$B:$B,0))</f>
        <v>01</v>
      </c>
      <c r="M83" s="18" t="str">
        <f>DanhsachNguoiluutru!K85</f>
        <v>Kinh</v>
      </c>
      <c r="N83" s="18" t="str">
        <f>INDEX(QuocTich!$A:$A,MATCH(DanhsachNguoiluutru!L85,QuocTich!$B:$B,0))</f>
        <v>VN</v>
      </c>
      <c r="O83" s="18" t="str">
        <f>DanhsachNguoiluutru!L85</f>
        <v>Việt Nam</v>
      </c>
      <c r="P83" s="18" t="str">
        <f>INDEX(QuocGia!$A:$A,MATCH(DanhsachNguoiluutru!M85,QuocGia!$B:$B,0))</f>
        <v>VN</v>
      </c>
      <c r="Q83" s="18" t="str">
        <f>DanhsachNguoiluutru!M85</f>
        <v>Cộng hòa xã hội chủ nghĩa Việt Nam</v>
      </c>
      <c r="R83" s="18" t="str">
        <f>INDEX(TinhThanh!$C:$C,MATCH(DanhsachNguoiluutru!N85,TinhThanh!$B:$B,0))</f>
        <v>36</v>
      </c>
      <c r="S83" s="18" t="str">
        <f ca="1">INDEX(OFFSET(QuanHuyen!$C$1,MATCH(extracted!$R83,QuanHuyen!$A:$A,0)-1,0,10000,1),MATCH(DanhsachNguoiluutru!$O85,OFFSET(QuanHuyen!$B$1,MATCH(extracted!$R83,QuanHuyen!$A:$A,0)-1,0,10000,1), 0))</f>
        <v>359</v>
      </c>
      <c r="T83" s="18" t="str">
        <f ca="1">INDEX(OFFSET(PhuongXa!$C$1,MATCH(extracted!$S83,PhuongXa!$A:$A,0)-1,0,10000,1),MATCH(DanhsachNguoiluutru!$P85,OFFSET(PhuongXa!$B$1,MATCH(extracted!$S83,PhuongXa!$A:$A,0)-1,0,10000,1), 0))</f>
        <v>13750</v>
      </c>
      <c r="U83" s="18" t="str">
        <f>DanhsachNguoiluutru!Q85</f>
        <v>Tân Khánh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>Tân Khánh, Xã Tân Khánh, Huyện Vụ Bản, Tỉnh Nam Định</v>
      </c>
      <c r="W83" s="18">
        <f>VLOOKUP(DanhsachNguoiluutru!$R85,DanhMuc!$A$2:$B$4,2,FALSE)</f>
        <v>1</v>
      </c>
      <c r="X83" s="18" t="str">
        <f>DanhsachNguoiluutru!R85</f>
        <v>Tạm trú</v>
      </c>
      <c r="Y83" s="18" t="str">
        <f>DanhsachNguoiluutru!S85</f>
        <v>07/07/2023</v>
      </c>
      <c r="Z83" s="18" t="str">
        <f>DanhsachNguoiluutru!T85</f>
        <v>09/07/2023</v>
      </c>
      <c r="AA83" s="18" t="str">
        <f>DanhsachNguoiluutru!U85</f>
        <v>Du Lịch</v>
      </c>
      <c r="AB83" s="18">
        <f>DanhsachNguoiluutru!V85</f>
        <v>407</v>
      </c>
    </row>
    <row r="84" spans="1:28" x14ac:dyDescent="0.3">
      <c r="A84" s="18" t="str">
        <f>DanhsachNguoiluutru!B86</f>
        <v>Trịnh Thảo My</v>
      </c>
      <c r="B84" s="18" t="str">
        <f>DanhsachNguoiluutru!C86</f>
        <v>02/07/1988</v>
      </c>
      <c r="C84" s="18" t="str">
        <f>INDEX(GioiTinh!$A:$A,MATCH(DanhsachNguoiluutru!D86,GioiTinh!$B:$B,0))</f>
        <v>3</v>
      </c>
      <c r="D84" s="18" t="str">
        <f>DanhsachNguoiluutru!D86</f>
        <v>Giới tính Nữ</v>
      </c>
      <c r="E84" s="18" t="str">
        <f>DanhsachNguoiluutru!E86</f>
        <v>019188206015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str">
        <f>INDEX(NgheNghiep!$A:$A,MATCH(DanhsachNguoiluutru!I86,NgheNghiep!$B:$B,0))</f>
        <v>TUDO</v>
      </c>
      <c r="J84" s="18" t="str">
        <f>DanhsachNguoiluutru!I86</f>
        <v>Tự do</v>
      </c>
      <c r="K84" s="18" t="str">
        <f>DanhsachNguoiluutru!J86</f>
        <v>Tân Khánh</v>
      </c>
      <c r="L84" s="18" t="str">
        <f>INDEX(DanToc!$A:$A,MATCH(DanhsachNguoiluutru!K86,DanToc!$B:$B,0))</f>
        <v>01</v>
      </c>
      <c r="M84" s="18" t="str">
        <f>DanhsachNguoiluutru!K86</f>
        <v>Kinh</v>
      </c>
      <c r="N84" s="18" t="str">
        <f>INDEX(QuocTich!$A:$A,MATCH(DanhsachNguoiluutru!L86,QuocTich!$B:$B,0))</f>
        <v>VN</v>
      </c>
      <c r="O84" s="18" t="str">
        <f>DanhsachNguoiluutru!L86</f>
        <v>Việt Nam</v>
      </c>
      <c r="P84" s="18" t="str">
        <f>INDEX(QuocGia!$A:$A,MATCH(DanhsachNguoiluutru!M86,QuocGia!$B:$B,0))</f>
        <v>VN</v>
      </c>
      <c r="Q84" s="18" t="str">
        <f>DanhsachNguoiluutru!M86</f>
        <v>Cộng hòa xã hội chủ nghĩa Việt Nam</v>
      </c>
      <c r="R84" s="18" t="str">
        <f>INDEX(TinhThanh!$C:$C,MATCH(DanhsachNguoiluutru!N86,TinhThanh!$B:$B,0))</f>
        <v>36</v>
      </c>
      <c r="S84" s="18" t="str">
        <f ca="1">INDEX(OFFSET(QuanHuyen!$C$1,MATCH(extracted!$R84,QuanHuyen!$A:$A,0)-1,0,10000,1),MATCH(DanhsachNguoiluutru!$O86,OFFSET(QuanHuyen!$B$1,MATCH(extracted!$R84,QuanHuyen!$A:$A,0)-1,0,10000,1), 0))</f>
        <v>359</v>
      </c>
      <c r="T84" s="18" t="str">
        <f ca="1">INDEX(OFFSET(PhuongXa!$C$1,MATCH(extracted!$S84,PhuongXa!$A:$A,0)-1,0,10000,1),MATCH(DanhsachNguoiluutru!$P86,OFFSET(PhuongXa!$B$1,MATCH(extracted!$S84,PhuongXa!$A:$A,0)-1,0,10000,1), 0))</f>
        <v>13750</v>
      </c>
      <c r="U84" s="18" t="str">
        <f>DanhsachNguoiluutru!Q86</f>
        <v>Tân Khánh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>Tân Khánh, Xã Tân Khánh, Huyện Vụ Bản, Tỉnh Nam Định</v>
      </c>
      <c r="W84" s="18">
        <f>VLOOKUP(DanhsachNguoiluutru!$R86,DanhMuc!$A$2:$B$4,2,FALSE)</f>
        <v>1</v>
      </c>
      <c r="X84" s="18" t="str">
        <f>DanhsachNguoiluutru!R86</f>
        <v>Tạm trú</v>
      </c>
      <c r="Y84" s="18" t="str">
        <f>DanhsachNguoiluutru!S86</f>
        <v>07/07/2023</v>
      </c>
      <c r="Z84" s="18" t="str">
        <f>DanhsachNguoiluutru!T86</f>
        <v>09/07/2023</v>
      </c>
      <c r="AA84" s="18" t="str">
        <f>DanhsachNguoiluutru!U86</f>
        <v>Du Lịch</v>
      </c>
      <c r="AB84" s="18">
        <f>DanhsachNguoiluutru!V86</f>
        <v>407</v>
      </c>
    </row>
    <row r="85" spans="1:28" x14ac:dyDescent="0.3">
      <c r="A85" s="18" t="str">
        <f>DanhsachNguoiluutru!B87</f>
        <v>Vương Công Cường</v>
      </c>
      <c r="B85" s="18" t="str">
        <f>DanhsachNguoiluutru!C87</f>
        <v>13/04/1990</v>
      </c>
      <c r="C85" s="18" t="str">
        <f>INDEX(GioiTinh!$A:$A,MATCH(DanhsachNguoiluutru!D87,GioiTinh!$B:$B,0))</f>
        <v>2</v>
      </c>
      <c r="D85" s="18" t="str">
        <f>DanhsachNguoiluutru!D87</f>
        <v>Giới tính Nam</v>
      </c>
      <c r="E85" s="18" t="str">
        <f>DanhsachNguoiluutru!E87</f>
        <v>019090278886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str">
        <f>INDEX(NgheNghiep!$A:$A,MATCH(DanhsachNguoiluutru!I87,NgheNghiep!$B:$B,0))</f>
        <v>TUDO</v>
      </c>
      <c r="J85" s="18" t="str">
        <f>DanhsachNguoiluutru!I87</f>
        <v>Tự do</v>
      </c>
      <c r="K85" s="18" t="str">
        <f>DanhsachNguoiluutru!J87</f>
        <v>Tân Khánh</v>
      </c>
      <c r="L85" s="18" t="str">
        <f>INDEX(DanToc!$A:$A,MATCH(DanhsachNguoiluutru!K87,DanToc!$B:$B,0))</f>
        <v>01</v>
      </c>
      <c r="M85" s="18" t="str">
        <f>DanhsachNguoiluutru!K87</f>
        <v>Kinh</v>
      </c>
      <c r="N85" s="18" t="str">
        <f>INDEX(QuocTich!$A:$A,MATCH(DanhsachNguoiluutru!L87,QuocTich!$B:$B,0))</f>
        <v>VN</v>
      </c>
      <c r="O85" s="18" t="str">
        <f>DanhsachNguoiluutru!L87</f>
        <v>Việt Nam</v>
      </c>
      <c r="P85" s="18" t="str">
        <f>INDEX(QuocGia!$A:$A,MATCH(DanhsachNguoiluutru!M87,QuocGia!$B:$B,0))</f>
        <v>VN</v>
      </c>
      <c r="Q85" s="18" t="str">
        <f>DanhsachNguoiluutru!M87</f>
        <v>Cộng hòa xã hội chủ nghĩa Việt Nam</v>
      </c>
      <c r="R85" s="18" t="str">
        <f>INDEX(TinhThanh!$C:$C,MATCH(DanhsachNguoiluutru!N87,TinhThanh!$B:$B,0))</f>
        <v>36</v>
      </c>
      <c r="S85" s="18" t="str">
        <f ca="1">INDEX(OFFSET(QuanHuyen!$C$1,MATCH(extracted!$R85,QuanHuyen!$A:$A,0)-1,0,10000,1),MATCH(DanhsachNguoiluutru!$O87,OFFSET(QuanHuyen!$B$1,MATCH(extracted!$R85,QuanHuyen!$A:$A,0)-1,0,10000,1), 0))</f>
        <v>359</v>
      </c>
      <c r="T85" s="18" t="str">
        <f ca="1">INDEX(OFFSET(PhuongXa!$C$1,MATCH(extracted!$S85,PhuongXa!$A:$A,0)-1,0,10000,1),MATCH(DanhsachNguoiluutru!$P87,OFFSET(PhuongXa!$B$1,MATCH(extracted!$S85,PhuongXa!$A:$A,0)-1,0,10000,1), 0))</f>
        <v>13750</v>
      </c>
      <c r="U85" s="18" t="str">
        <f>DanhsachNguoiluutru!Q87</f>
        <v>Tân Khánh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>Tân Khánh, Xã Tân Khánh, Huyện Vụ Bản, Tỉnh Nam Định</v>
      </c>
      <c r="W85" s="18">
        <f>VLOOKUP(DanhsachNguoiluutru!$R87,DanhMuc!$A$2:$B$4,2,FALSE)</f>
        <v>1</v>
      </c>
      <c r="X85" s="18" t="str">
        <f>DanhsachNguoiluutru!R87</f>
        <v>Tạm trú</v>
      </c>
      <c r="Y85" s="18" t="str">
        <f>DanhsachNguoiluutru!S87</f>
        <v>07/07/2023</v>
      </c>
      <c r="Z85" s="18" t="str">
        <f>DanhsachNguoiluutru!T87</f>
        <v>09/07/2023</v>
      </c>
      <c r="AA85" s="18" t="str">
        <f>DanhsachNguoiluutru!U87</f>
        <v>Du Lịch</v>
      </c>
      <c r="AB85" s="18">
        <f>DanhsachNguoiluutru!V87</f>
        <v>501</v>
      </c>
    </row>
    <row r="86" spans="1:28" x14ac:dyDescent="0.3">
      <c r="A86" s="18" t="str">
        <f>DanhsachNguoiluutru!B88</f>
        <v>Trịnh Phúc Bình</v>
      </c>
      <c r="B86" s="18" t="str">
        <f>DanhsachNguoiluutru!C88</f>
        <v>17/03/1991</v>
      </c>
      <c r="C86" s="18" t="str">
        <f>INDEX(GioiTinh!$A:$A,MATCH(DanhsachNguoiluutru!D88,GioiTinh!$B:$B,0))</f>
        <v>2</v>
      </c>
      <c r="D86" s="18" t="str">
        <f>DanhsachNguoiluutru!D88</f>
        <v>Giới tính Nam</v>
      </c>
      <c r="E86" s="18" t="str">
        <f>DanhsachNguoiluutru!E88</f>
        <v>019091170726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str">
        <f>INDEX(NgheNghiep!$A:$A,MATCH(DanhsachNguoiluutru!I88,NgheNghiep!$B:$B,0))</f>
        <v>TUDO</v>
      </c>
      <c r="J86" s="18" t="str">
        <f>DanhsachNguoiluutru!I88</f>
        <v>Tự do</v>
      </c>
      <c r="K86" s="18" t="str">
        <f>DanhsachNguoiluutru!J88</f>
        <v>Tân Khánh</v>
      </c>
      <c r="L86" s="18" t="str">
        <f>INDEX(DanToc!$A:$A,MATCH(DanhsachNguoiluutru!K88,DanToc!$B:$B,0))</f>
        <v>01</v>
      </c>
      <c r="M86" s="18" t="str">
        <f>DanhsachNguoiluutru!K88</f>
        <v>Kinh</v>
      </c>
      <c r="N86" s="18" t="str">
        <f>INDEX(QuocTich!$A:$A,MATCH(DanhsachNguoiluutru!L88,QuocTich!$B:$B,0))</f>
        <v>VN</v>
      </c>
      <c r="O86" s="18" t="str">
        <f>DanhsachNguoiluutru!L88</f>
        <v>Việt Nam</v>
      </c>
      <c r="P86" s="18" t="str">
        <f>INDEX(QuocGia!$A:$A,MATCH(DanhsachNguoiluutru!M88,QuocGia!$B:$B,0))</f>
        <v>VN</v>
      </c>
      <c r="Q86" s="18" t="str">
        <f>DanhsachNguoiluutru!M88</f>
        <v>Cộng hòa xã hội chủ nghĩa Việt Nam</v>
      </c>
      <c r="R86" s="18" t="str">
        <f>INDEX(TinhThanh!$C:$C,MATCH(DanhsachNguoiluutru!N88,TinhThanh!$B:$B,0))</f>
        <v>36</v>
      </c>
      <c r="S86" s="18" t="str">
        <f ca="1">INDEX(OFFSET(QuanHuyen!$C$1,MATCH(extracted!$R86,QuanHuyen!$A:$A,0)-1,0,10000,1),MATCH(DanhsachNguoiluutru!$O88,OFFSET(QuanHuyen!$B$1,MATCH(extracted!$R86,QuanHuyen!$A:$A,0)-1,0,10000,1), 0))</f>
        <v>359</v>
      </c>
      <c r="T86" s="18" t="str">
        <f ca="1">INDEX(OFFSET(PhuongXa!$C$1,MATCH(extracted!$S86,PhuongXa!$A:$A,0)-1,0,10000,1),MATCH(DanhsachNguoiluutru!$P88,OFFSET(PhuongXa!$B$1,MATCH(extracted!$S86,PhuongXa!$A:$A,0)-1,0,10000,1), 0))</f>
        <v>13750</v>
      </c>
      <c r="U86" s="18" t="str">
        <f>DanhsachNguoiluutru!Q88</f>
        <v>Tân Khánh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>Tân Khánh, Xã Tân Khánh, Huyện Vụ Bản, Tỉnh Nam Định</v>
      </c>
      <c r="W86" s="18">
        <f>VLOOKUP(DanhsachNguoiluutru!$R88,DanhMuc!$A$2:$B$4,2,FALSE)</f>
        <v>1</v>
      </c>
      <c r="X86" s="18" t="str">
        <f>DanhsachNguoiluutru!R88</f>
        <v>Tạm trú</v>
      </c>
      <c r="Y86" s="18" t="str">
        <f>DanhsachNguoiluutru!S88</f>
        <v>07/07/2023</v>
      </c>
      <c r="Z86" s="18" t="str">
        <f>DanhsachNguoiluutru!T88</f>
        <v>09/07/2023</v>
      </c>
      <c r="AA86" s="18" t="str">
        <f>DanhsachNguoiluutru!U88</f>
        <v>Du Lịch</v>
      </c>
      <c r="AB86" s="18">
        <f>DanhsachNguoiluutru!V88</f>
        <v>501</v>
      </c>
    </row>
    <row r="87" spans="1:28" x14ac:dyDescent="0.3">
      <c r="A87" s="18" t="str">
        <f>DanhsachNguoiluutru!B89</f>
        <v>Nguyễn Đình Linh</v>
      </c>
      <c r="B87" s="18" t="str">
        <f>DanhsachNguoiluutru!C89</f>
        <v>04/09/1990</v>
      </c>
      <c r="C87" s="18" t="str">
        <f>INDEX(GioiTinh!$A:$A,MATCH(DanhsachNguoiluutru!D89,GioiTinh!$B:$B,0))</f>
        <v>2</v>
      </c>
      <c r="D87" s="18" t="str">
        <f>DanhsachNguoiluutru!D89</f>
        <v>Giới tính Nam</v>
      </c>
      <c r="E87" s="18" t="str">
        <f>DanhsachNguoiluutru!E89</f>
        <v>019090965262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str">
        <f>INDEX(NgheNghiep!$A:$A,MATCH(DanhsachNguoiluutru!I89,NgheNghiep!$B:$B,0))</f>
        <v>TUDO</v>
      </c>
      <c r="J87" s="18" t="str">
        <f>DanhsachNguoiluutru!I89</f>
        <v>Tự do</v>
      </c>
      <c r="K87" s="18" t="str">
        <f>DanhsachNguoiluutru!J89</f>
        <v>Tân Khánh</v>
      </c>
      <c r="L87" s="18" t="str">
        <f>INDEX(DanToc!$A:$A,MATCH(DanhsachNguoiluutru!K89,DanToc!$B:$B,0))</f>
        <v>01</v>
      </c>
      <c r="M87" s="18" t="str">
        <f>DanhsachNguoiluutru!K89</f>
        <v>Kinh</v>
      </c>
      <c r="N87" s="18" t="str">
        <f>INDEX(QuocTich!$A:$A,MATCH(DanhsachNguoiluutru!L89,QuocTich!$B:$B,0))</f>
        <v>VN</v>
      </c>
      <c r="O87" s="18" t="str">
        <f>DanhsachNguoiluutru!L89</f>
        <v>Việt Nam</v>
      </c>
      <c r="P87" s="18" t="str">
        <f>INDEX(QuocGia!$A:$A,MATCH(DanhsachNguoiluutru!M89,QuocGia!$B:$B,0))</f>
        <v>VN</v>
      </c>
      <c r="Q87" s="18" t="str">
        <f>DanhsachNguoiluutru!M89</f>
        <v>Cộng hòa xã hội chủ nghĩa Việt Nam</v>
      </c>
      <c r="R87" s="18" t="str">
        <f>INDEX(TinhThanh!$C:$C,MATCH(DanhsachNguoiluutru!N89,TinhThanh!$B:$B,0))</f>
        <v>36</v>
      </c>
      <c r="S87" s="18" t="str">
        <f ca="1">INDEX(OFFSET(QuanHuyen!$C$1,MATCH(extracted!$R87,QuanHuyen!$A:$A,0)-1,0,10000,1),MATCH(DanhsachNguoiluutru!$O89,OFFSET(QuanHuyen!$B$1,MATCH(extracted!$R87,QuanHuyen!$A:$A,0)-1,0,10000,1), 0))</f>
        <v>359</v>
      </c>
      <c r="T87" s="18" t="str">
        <f ca="1">INDEX(OFFSET(PhuongXa!$C$1,MATCH(extracted!$S87,PhuongXa!$A:$A,0)-1,0,10000,1),MATCH(DanhsachNguoiluutru!$P89,OFFSET(PhuongXa!$B$1,MATCH(extracted!$S87,PhuongXa!$A:$A,0)-1,0,10000,1), 0))</f>
        <v>13750</v>
      </c>
      <c r="U87" s="18" t="str">
        <f>DanhsachNguoiluutru!Q89</f>
        <v>Tân Khánh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>Tân Khánh, Xã Tân Khánh, Huyện Vụ Bản, Tỉnh Nam Định</v>
      </c>
      <c r="W87" s="18">
        <f>VLOOKUP(DanhsachNguoiluutru!$R89,DanhMuc!$A$2:$B$4,2,FALSE)</f>
        <v>1</v>
      </c>
      <c r="X87" s="18" t="str">
        <f>DanhsachNguoiluutru!R89</f>
        <v>Tạm trú</v>
      </c>
      <c r="Y87" s="18" t="str">
        <f>DanhsachNguoiluutru!S89</f>
        <v>07/07/2023</v>
      </c>
      <c r="Z87" s="18" t="str">
        <f>DanhsachNguoiluutru!T89</f>
        <v>09/07/2023</v>
      </c>
      <c r="AA87" s="18" t="str">
        <f>DanhsachNguoiluutru!U89</f>
        <v>Du Lịch</v>
      </c>
      <c r="AB87" s="18">
        <f>DanhsachNguoiluutru!V89</f>
        <v>501</v>
      </c>
    </row>
    <row r="88" spans="1:28" x14ac:dyDescent="0.3">
      <c r="A88" s="18" t="str">
        <f>DanhsachNguoiluutru!B90</f>
        <v>Thái Thảo Mai</v>
      </c>
      <c r="B88" s="18" t="str">
        <f>DanhsachNguoiluutru!C90</f>
        <v>17/08/1990</v>
      </c>
      <c r="C88" s="18" t="str">
        <f>INDEX(GioiTinh!$A:$A,MATCH(DanhsachNguoiluutru!D90,GioiTinh!$B:$B,0))</f>
        <v>3</v>
      </c>
      <c r="D88" s="18" t="str">
        <f>DanhsachNguoiluutru!D90</f>
        <v>Giới tính Nữ</v>
      </c>
      <c r="E88" s="18" t="str">
        <f>DanhsachNguoiluutru!E90</f>
        <v>019190334804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str">
        <f>INDEX(NgheNghiep!$A:$A,MATCH(DanhsachNguoiluutru!I90,NgheNghiep!$B:$B,0))</f>
        <v>TUDO</v>
      </c>
      <c r="J88" s="18" t="str">
        <f>DanhsachNguoiluutru!I90</f>
        <v>Tự do</v>
      </c>
      <c r="K88" s="18" t="str">
        <f>DanhsachNguoiluutru!J90</f>
        <v>Tân Khánh</v>
      </c>
      <c r="L88" s="18" t="str">
        <f>INDEX(DanToc!$A:$A,MATCH(DanhsachNguoiluutru!K90,DanToc!$B:$B,0))</f>
        <v>01</v>
      </c>
      <c r="M88" s="18" t="str">
        <f>DanhsachNguoiluutru!K90</f>
        <v>Kinh</v>
      </c>
      <c r="N88" s="18" t="str">
        <f>INDEX(QuocTich!$A:$A,MATCH(DanhsachNguoiluutru!L90,QuocTich!$B:$B,0))</f>
        <v>VN</v>
      </c>
      <c r="O88" s="18" t="str">
        <f>DanhsachNguoiluutru!L90</f>
        <v>Việt Nam</v>
      </c>
      <c r="P88" s="18" t="str">
        <f>INDEX(QuocGia!$A:$A,MATCH(DanhsachNguoiluutru!M90,QuocGia!$B:$B,0))</f>
        <v>VN</v>
      </c>
      <c r="Q88" s="18" t="str">
        <f>DanhsachNguoiluutru!M90</f>
        <v>Cộng hòa xã hội chủ nghĩa Việt Nam</v>
      </c>
      <c r="R88" s="18" t="str">
        <f>INDEX(TinhThanh!$C:$C,MATCH(DanhsachNguoiluutru!N90,TinhThanh!$B:$B,0))</f>
        <v>36</v>
      </c>
      <c r="S88" s="18" t="str">
        <f ca="1">INDEX(OFFSET(QuanHuyen!$C$1,MATCH(extracted!$R88,QuanHuyen!$A:$A,0)-1,0,10000,1),MATCH(DanhsachNguoiluutru!$O90,OFFSET(QuanHuyen!$B$1,MATCH(extracted!$R88,QuanHuyen!$A:$A,0)-1,0,10000,1), 0))</f>
        <v>359</v>
      </c>
      <c r="T88" s="18" t="str">
        <f ca="1">INDEX(OFFSET(PhuongXa!$C$1,MATCH(extracted!$S88,PhuongXa!$A:$A,0)-1,0,10000,1),MATCH(DanhsachNguoiluutru!$P90,OFFSET(PhuongXa!$B$1,MATCH(extracted!$S88,PhuongXa!$A:$A,0)-1,0,10000,1), 0))</f>
        <v>13750</v>
      </c>
      <c r="U88" s="18" t="str">
        <f>DanhsachNguoiluutru!Q90</f>
        <v>Tân Khánh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>Tân Khánh, Xã Tân Khánh, Huyện Vụ Bản, Tỉnh Nam Định</v>
      </c>
      <c r="W88" s="18">
        <f>VLOOKUP(DanhsachNguoiluutru!$R90,DanhMuc!$A$2:$B$4,2,FALSE)</f>
        <v>1</v>
      </c>
      <c r="X88" s="18" t="str">
        <f>DanhsachNguoiluutru!R90</f>
        <v>Tạm trú</v>
      </c>
      <c r="Y88" s="18" t="str">
        <f>DanhsachNguoiluutru!S90</f>
        <v>07/07/2023</v>
      </c>
      <c r="Z88" s="18" t="str">
        <f>DanhsachNguoiluutru!T90</f>
        <v>09/07/2023</v>
      </c>
      <c r="AA88" s="18" t="str">
        <f>DanhsachNguoiluutru!U90</f>
        <v>Du Lịch</v>
      </c>
      <c r="AB88" s="18">
        <f>DanhsachNguoiluutru!V90</f>
        <v>501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2023-07-07T12:49:27Z</dcterms:modified>
</cp:coreProperties>
</file>